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468c67aad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2b22600aef64fc4"/>
    <x:sheet xmlns:r="http://schemas.openxmlformats.org/officeDocument/2006/relationships" name="Rate Summary" sheetId="2" r:id="R7d919bb1155f44b7"/>
    <x:sheet xmlns:r="http://schemas.openxmlformats.org/officeDocument/2006/relationships" name="Yearly" sheetId="3" r:id="Rb83593a077c94904"/>
    <x:sheet xmlns:r="http://schemas.openxmlformats.org/officeDocument/2006/relationships" name="Agency" sheetId="4" r:id="R6f08fea49bb84882"/>
    <x:sheet xmlns:r="http://schemas.openxmlformats.org/officeDocument/2006/relationships" name="Features" sheetId="5" r:id="Rc389b7739da94652"/>
    <x:sheet xmlns:r="http://schemas.openxmlformats.org/officeDocument/2006/relationships" name="Incidents" sheetId="6" r:id="Rb242eeb6b931477d"/>
    <x:sheet xmlns:r="http://schemas.openxmlformats.org/officeDocument/2006/relationships" name="Sources" sheetId="7" r:id="R4595986b9f5e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1111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4F6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9f45399564d4f" /><Relationship Type="http://schemas.openxmlformats.org/officeDocument/2006/relationships/theme" Target="/xl/theme/theme1.xml" Id="Rbe99ef1310724250" /><Relationship Type="http://schemas.microsoft.com/office/2022/11/relationships/FeaturePropertyBag" Target="/xl/featurePropertyBag/featurePropertyBag.xml" Id="R557d7e2bcb1547df" /><Relationship Type="http://schemas.openxmlformats.org/officeDocument/2006/relationships/sharedStrings" Target="/xl/sharedStrings.xml" Id="R09374e504fd342f1" /><Relationship Type="http://schemas.openxmlformats.org/officeDocument/2006/relationships/worksheet" Target="/xl/worksheets/sheet1.xml" Id="R02b22600aef64fc4" /><Relationship Type="http://schemas.openxmlformats.org/officeDocument/2006/relationships/worksheet" Target="/xl/worksheets/sheet2.xml" Id="R7d919bb1155f44b7" /><Relationship Type="http://schemas.openxmlformats.org/officeDocument/2006/relationships/worksheet" Target="/xl/worksheets/sheet3.xml" Id="Rb83593a077c94904" /><Relationship Type="http://schemas.openxmlformats.org/officeDocument/2006/relationships/worksheet" Target="/xl/worksheets/sheet4.xml" Id="R6f08fea49bb84882" /><Relationship Type="http://schemas.openxmlformats.org/officeDocument/2006/relationships/worksheet" Target="/xl/worksheets/sheet5.xml" Id="Rc389b7739da94652" /><Relationship Type="http://schemas.openxmlformats.org/officeDocument/2006/relationships/worksheet" Target="/xl/worksheets/sheet6.xml" Id="Rb242eeb6b931477d" /><Relationship Type="http://schemas.openxmlformats.org/officeDocument/2006/relationships/worksheet" Target="/xl/worksheets/sheet7.xml" Id="R4595986b9f5e42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b467747f0040e6" /><Relationship Type="http://schemas.openxmlformats.org/officeDocument/2006/relationships/chart" Target="/xl/drawings/charts/chart2.xml" Id="Rc48c0169ecdc457f" /><Relationship Type="http://schemas.openxmlformats.org/officeDocument/2006/relationships/chart" Target="/xl/drawings/charts/chart3.xml" Id="R55e31907fad0462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Rate per 1M</c:v>
          </c:tx>
          <c:cat>
            <c:strRef>
              <c:f>'Rate Summary'!$A$2:$A$6</c:f>
              <c:strCache>
                <c:ptCount val="0"/>
              </c:strCache>
            </c:strRef>
          </c:cat>
          <c:val>
            <c:numRef>
              <c:f>'Rate Summary'!$D$2:$D$6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Fatal shootings per 1M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Unit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ABQ fatal shootings</c:v>
          </c:tx>
          <c:cat>
            <c:strRef>
              <c:f>'Yearly'!$A$2:$A$11</c:f>
              <c:strCache>
                <c:ptCount val="0"/>
              </c:strCache>
            </c:strRef>
          </c:cat>
          <c:val>
            <c:numRef>
              <c:f>'Yearly'!$B$2:$B$11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APD-involved</c:v>
          </c:tx>
          <c:cat>
            <c:strRef>
              <c:f>'Yearly'!$A$2:$A$11</c:f>
              <c:strCache>
                <c:ptCount val="0"/>
              </c:strCache>
            </c:strRef>
          </c:cat>
          <c:val>
            <c:numRef>
              <c:f>'Yearly'!$D$2:$D$11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Year</a:t>
                </a:r>
              </a:p>
            </c:rich>
          </c:tx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Fatal shootings</a:t>
                </a:r>
              </a:p>
            </c:rich>
          </c:tx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Fatal incidents</c:v>
          </c:tx>
          <c:cat>
            <c:strRef>
              <c:f>'Agency'!$A$2:$A$9</c:f>
              <c:strCache>
                <c:ptCount val="0"/>
              </c:strCache>
            </c:strRef>
          </c:cat>
          <c:val>
            <c:numRef>
              <c:f>'Agency'!$B$2:$B$9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Fatal incidents</a:t>
                </a:r>
              </a:p>
            </c:rich>
          </c:tx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b467747f0040e6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8c0169ecdc457f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e31907fad0462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teSummaryTable" displayName="RateSummaryTable" ref="A1:H6" headerRowCount="1">
  <x:tableColumns count="8">
    <x:tableColumn id="1" name="unit"/>
    <x:tableColumn id="2" name="scope"/>
    <x:tableColumn id="3" name="total_fatal_shootings"/>
    <x:tableColumn id="4" name="annualized_rate_per_1m"/>
    <x:tableColumn id="5" name="population_basis"/>
    <x:tableColumn id="6" name="population_value_used"/>
    <x:tableColumn id="7" name="rate_ratio_vs_us"/>
    <x:tableColumn id="8" name="rate_ratio_vs_nm"/>
  </x:tableColumns>
  <x:tableStyleInfo name="TableStyleMedium2" showRowStripes="1"/>
</x:table>
</file>

<file path=xl/tables/table2.xml><?xml version="1.0" encoding="utf-8"?>
<x:table xmlns:x="http://schemas.openxmlformats.org/spreadsheetml/2006/main" id="2" name="YearlyTable" displayName="YearlyTable" ref="A1:I11" headerRowCount="1">
  <x:tableColumns count="9">
    <x:tableColumn id="1" name="year"/>
    <x:tableColumn id="2" name="abq_fatal_shootings"/>
    <x:tableColumn id="3" name="abq_rate_per_1m_const_2024_pop"/>
    <x:tableColumn id="4" name="apd_involved_fatal_shootings_in_abq"/>
    <x:tableColumn id="5" name="non_apd_fatal_shootings_in_abq"/>
    <x:tableColumn id="6" name="gun_involved_count"/>
    <x:tableColumn id="7" name="unarmed_count"/>
    <x:tableColumn id="8" name="mental_illness_related_count"/>
    <x:tableColumn id="9" name="body_camera_count"/>
  </x:tableColumns>
  <x:tableStyleInfo name="TableStyleMedium2" showRowStripes="1"/>
</x:table>
</file>

<file path=xl/tables/table3.xml><?xml version="1.0" encoding="utf-8"?>
<x:table xmlns:x="http://schemas.openxmlformats.org/spreadsheetml/2006/main" id="3" name="AgencyTable" displayName="AgencyTable" ref="A1:C7" headerRowCount="1">
  <x:tableColumns count="3">
    <x:tableColumn id="1" name="agency_name"/>
    <x:tableColumn id="2" name="fatal_incidents_in_abq"/>
    <x:tableColumn id="3" name="share_of_abq_incidents_multiagency_nonexclusive"/>
  </x:tableColumns>
  <x:tableStyleInfo name="TableStyleMedium2" showRowStripes="1"/>
</x:table>
</file>

<file path=xl/tables/table4.xml><?xml version="1.0" encoding="utf-8"?>
<x:table xmlns:x="http://schemas.openxmlformats.org/spreadsheetml/2006/main" id="4" name="FeaturesTable" displayName="FeaturesTable" ref="A1:J5" headerRowCount="1">
  <x:tableColumns count="10">
    <x:tableColumn id="1" name="unit"/>
    <x:tableColumn id="2" name="fatal_shootings"/>
    <x:tableColumn id="3" name="gun_involved_count"/>
    <x:tableColumn id="4" name="gun_involved_share"/>
    <x:tableColumn id="5" name="unarmed_count"/>
    <x:tableColumn id="6" name="unarmed_share"/>
    <x:tableColumn id="7" name="mental_illness_related_count"/>
    <x:tableColumn id="8" name="mental_illness_related_share"/>
    <x:tableColumn id="9" name="body_camera_count"/>
    <x:tableColumn id="10" name="body_camera_share"/>
  </x:tableColumns>
  <x:tableStyleInfo name="TableStyleMedium2" showRowStripes="1"/>
</x:table>
</file>

<file path=xl/tables/table5.xml><?xml version="1.0" encoding="utf-8"?>
<x:table xmlns:x="http://schemas.openxmlformats.org/spreadsheetml/2006/main" id="5" name="IncidentsTable" displayName="IncidentsTable" ref="A1:P78" headerRowCount="1">
  <x:tableColumns count="16">
    <x:tableColumn id="1" name="incident_id"/>
    <x:tableColumn id="2" name="incident_date"/>
    <x:tableColumn id="3" name="year"/>
    <x:tableColumn id="4" name="victim_name"/>
    <x:tableColumn id="5" name="age"/>
    <x:tableColumn id="6" name="gender"/>
    <x:tableColumn id="7" name="race_label"/>
    <x:tableColumn id="8" name="armed_with"/>
    <x:tableColumn id="9" name="threat_type"/>
    <x:tableColumn id="10" name="flee_status"/>
    <x:tableColumn id="11" name="was_mental_illness_related"/>
    <x:tableColumn id="12" name="body_camera"/>
    <x:tableColumn id="13" name="apd_involved"/>
    <x:tableColumn id="14" name="agencies_involved"/>
    <x:tableColumn id="15" name="latitude"/>
    <x:tableColumn id="16" name="longitu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039ee4e77845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4d6661dd5e41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fd05b4074a4f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3df3b4ca0d4a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18093e6ac348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82c1ef727b4132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6" hidden="0" customWidth="1"/>
    <x:col min="4" max="4" width="16" hidden="0" customWidth="1"/>
    <x:col min="6" max="6" width="42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4" customHeight="1">
      <x:c r="A1" s="23" t="str">
        <x:v>Albuquerque Fatal Police Shootings Focus Dashboard</x:v>
      </x:c>
    </x:row>
    <x:row r="2" ht="24" customHeight="1"/>
    <x:row r="3" ht="24" customHeight="1">
      <x:c r="A3" s="18" t="str">
        <x:v>KPI</x:v>
      </x:c>
      <x:c r="B3" s="18" t="str">
        <x:v>Value</x:v>
      </x:c>
      <x:c r="D3" s="4" t="str">
        <x:v>Interpretation notes</x:v>
      </x:c>
    </x:row>
    <x:row r="4" ht="34" customHeight="1">
      <x:c r="A4" s="38" t="str">
        <x:v>Albuquerque fatal shootings, 2015-2024</x:v>
      </x:c>
      <x:c r="B4" s="11" t="n">
        <x:f>'Rate Summary'!C4</x:f>
        <x:v>77</x:v>
      </x:c>
      <x:c r="D4" s="49" t="str">
        <x:v>City rates use the 2024 Census QuickFacts Albuquerque population as a constant denominator. Replace with annual city estimates for a final publication model.</x:v>
      </x:c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</x:row>
    <x:row r="5" ht="34" customHeight="1">
      <x:c r="A5" s="38" t="str">
        <x:v>Albuquerque annualized rate per 1M</x:v>
      </x:c>
      <x:c r="B5" s="39" t="n">
        <x:f>'Rate Summary'!D4</x:f>
        <x:v>13.742000192744936</x:v>
      </x:c>
      <x:c r="D5" s="49" t="str">
        <x:v>Agency counts are incident-level and non-exclusive: multi-agency incidents can count for more than one agency.</x:v>
      </x:c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</x:row>
    <x:row r="6" ht="34" customHeight="1">
      <x:c r="A6" s="38" t="str">
        <x:v>APD-involved fatal shootings in Albuquerque</x:v>
      </x:c>
      <x:c r="B6" s="11" t="n">
        <x:f>'Rate Summary'!C5</x:f>
        <x:v>51</x:v>
      </x:c>
      <x:c r="D6" s="49" t="str">
        <x:v>Fatal shooting counts are outcome counts, not misconduct findings. Add calls for service, arrests, violent crime, mental-health calls, and staffing before making causal claims.</x:v>
      </x:c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</x:row>
    <x:row r="7" ht="34" customHeight="1">
      <x:c r="A7" s="38" t="str">
        <x:v>APD-involved share of ABQ incidents</x:v>
      </x:c>
      <x:c r="B7" s="40" t="n">
        <x:f>'Rate Summary'!C5/'Rate Summary'!C4</x:f>
        <x:v>0.6623376623376623</x:v>
      </x:c>
    </x:row>
    <x:row r="8" ht="34" customHeight="1">
      <x:c r="A8" s="38" t="str">
        <x:v>ABQ rate ratio vs U.S.</x:v>
      </x:c>
      <x:c r="B8" s="40" t="n">
        <x:f>'Rate Summary'!G4</x:f>
        <x:v>4.345163095012259</x:v>
      </x:c>
    </x:row>
    <x:row r="9" ht="34" customHeight="1">
      <x:c r="A9" s="38" t="str">
        <x:v>ABQ rate ratio vs New Mexico</x:v>
      </x:c>
      <x:c r="B9" s="40" t="n">
        <x:f>'Rate Summary'!H4</x:f>
        <x:v>1.321302919107903</x:v>
      </x:c>
    </x:row>
    <x:row r="10" ht="34" customHeight="1">
      <x:c r="A10" s="38" t="str">
        <x:v>Population denominator used</x:v>
      </x:c>
      <x:c r="B10" s="41" t="n">
        <x:f>'Rate Summary'!F4</x:f>
        <x:v>560326</x:v>
      </x:c>
    </x:row>
    <x:row r="11" ht="24" customHeight="1"/>
    <x:row r="12" ht="24" customHeight="1"/>
    <x:row r="13" ht="24" customHeight="1">
      <x:c r="A13" s="18" t="str">
        <x:v>Year</x:v>
      </x:c>
      <x:c r="B13" s="18" t="str">
        <x:v>ABQ total</x:v>
      </x:c>
      <x:c r="C13" s="18" t="str">
        <x:v>APD-involved</x:v>
      </x:c>
      <x:c r="D13" s="18" t="str">
        <x:v>Non-APD</x:v>
      </x:c>
      <x:c r="F13" s="18" t="str">
        <x:v>Agency</x:v>
      </x:c>
      <x:c r="G13" s="18" t="str">
        <x:v>Fatal incidents</x:v>
      </x:c>
    </x:row>
    <x:row r="14" ht="24" customHeight="1">
      <x:c r="A14" s="11" t="n">
        <x:v>2015</x:v>
      </x:c>
      <x:c r="B14" s="11" t="n">
        <x:v>5</x:v>
      </x:c>
      <x:c r="C14" s="11" t="n">
        <x:v>3</x:v>
      </x:c>
      <x:c r="D14" s="11" t="n">
        <x:v>2</x:v>
      </x:c>
      <x:c r="F14" s="11" t="str">
        <x:v>Albuquerque Police Department</x:v>
      </x:c>
      <x:c r="G14" s="11" t="n">
        <x:v>51</x:v>
      </x:c>
    </x:row>
    <x:row r="15" ht="24" customHeight="1">
      <x:c r="A15" s="11" t="n">
        <x:v>2016</x:v>
      </x:c>
      <x:c r="B15" s="11" t="n">
        <x:v>6</x:v>
      </x:c>
      <x:c r="C15" s="11" t="n">
        <x:v>4</x:v>
      </x:c>
      <x:c r="D15" s="11" t="n">
        <x:v>2</x:v>
      </x:c>
      <x:c r="F15" s="11" t="str">
        <x:v>Bernalillo County Sheriff's Department</x:v>
      </x:c>
      <x:c r="G15" s="11" t="n">
        <x:v>17</x:v>
      </x:c>
    </x:row>
    <x:row r="16" ht="24" customHeight="1">
      <x:c r="A16" s="11" t="n">
        <x:v>2017</x:v>
      </x:c>
      <x:c r="B16" s="11" t="n">
        <x:v>8</x:v>
      </x:c>
      <x:c r="C16" s="11" t="n">
        <x:v>2</x:v>
      </x:c>
      <x:c r="D16" s="11" t="n">
        <x:v>6</x:v>
      </x:c>
      <x:c r="F16" s="11" t="str">
        <x:v>New Mexico State Police</x:v>
      </x:c>
      <x:c r="G16" s="11" t="n">
        <x:v>6</x:v>
      </x:c>
    </x:row>
    <x:row r="17" ht="24" customHeight="1">
      <x:c r="A17" s="11" t="n">
        <x:v>2018</x:v>
      </x:c>
      <x:c r="B17" s="11" t="n">
        <x:v>9</x:v>
      </x:c>
      <x:c r="C17" s="11" t="n">
        <x:v>7</x:v>
      </x:c>
      <x:c r="D17" s="11" t="n">
        <x:v>2</x:v>
      </x:c>
      <x:c r="F17" s="11" t="str">
        <x:v>U.S. Marshals Service</x:v>
      </x:c>
      <x:c r="G17" s="11" t="n">
        <x:v>4</x:v>
      </x:c>
    </x:row>
    <x:row r="18" ht="24" customHeight="1">
      <x:c r="A18" s="11" t="n">
        <x:v>2019</x:v>
      </x:c>
      <x:c r="B18" s="11" t="n">
        <x:v>5</x:v>
      </x:c>
      <x:c r="C18" s="11" t="n">
        <x:v>4</x:v>
      </x:c>
      <x:c r="D18" s="11" t="n">
        <x:v>1</x:v>
      </x:c>
      <x:c r="F18" s="11" t="str">
        <x:v>Federal Bureau of Investigation</x:v>
      </x:c>
      <x:c r="G18" s="11" t="n">
        <x:v>2</x:v>
      </x:c>
    </x:row>
    <x:row r="19" ht="24" customHeight="1">
      <x:c r="A19" s="11" t="n">
        <x:v>2020</x:v>
      </x:c>
      <x:c r="B19" s="11" t="n">
        <x:v>6</x:v>
      </x:c>
      <x:c r="C19" s="11" t="n">
        <x:v>5</x:v>
      </x:c>
      <x:c r="D19" s="11" t="n">
        <x:v>1</x:v>
      </x:c>
      <x:c r="F19" s="11" t="str">
        <x:v>Rio Rancho Police Department</x:v>
      </x:c>
      <x:c r="G19" s="11" t="n">
        <x:v>1</x:v>
      </x:c>
    </x:row>
    <x:row r="20" ht="24" customHeight="1">
      <x:c r="A20" s="11" t="n">
        <x:v>2021</x:v>
      </x:c>
      <x:c r="B20" s="11" t="n">
        <x:v>6</x:v>
      </x:c>
      <x:c r="C20" s="11" t="n">
        <x:v>2</x:v>
      </x:c>
      <x:c r="D20" s="11" t="n">
        <x:v>4</x:v>
      </x:c>
      <x:c r="F20" s="11"/>
      <x:c r="G20" s="11"/>
    </x:row>
    <x:row r="21" ht="24" customHeight="1">
      <x:c r="A21" s="11" t="n">
        <x:v>2022</x:v>
      </x:c>
      <x:c r="B21" s="11" t="n">
        <x:v>14</x:v>
      </x:c>
      <x:c r="C21" s="11" t="n">
        <x:v>10</x:v>
      </x:c>
      <x:c r="D21" s="11" t="n">
        <x:v>4</x:v>
      </x:c>
      <x:c r="F21" s="11"/>
      <x:c r="G21" s="11"/>
    </x:row>
    <x:row r="22" ht="24" customHeight="1">
      <x:c r="A22" s="11" t="n">
        <x:v>2023</x:v>
      </x:c>
      <x:c r="B22" s="11" t="n">
        <x:v>9</x:v>
      </x:c>
      <x:c r="C22" s="11" t="n">
        <x:v>6</x:v>
      </x:c>
      <x:c r="D22" s="11" t="n">
        <x:v>3</x:v>
      </x:c>
    </x:row>
    <x:row r="23" ht="24" customHeight="1">
      <x:c r="A23" s="11" t="n">
        <x:v>2024</x:v>
      </x:c>
      <x:c r="B23" s="11" t="n">
        <x:v>9</x:v>
      </x:c>
      <x:c r="C23" s="11" t="n">
        <x:v>8</x:v>
      </x:c>
      <x:c r="D23" s="11" t="n">
        <x:v>1</x:v>
      </x:c>
    </x:row>
  </x:sheetData>
  <x:mergeCells>
    <x:mergeCell ref="A1:O1"/>
    <x:mergeCell ref="D3:O3"/>
    <x:mergeCell ref="D4:O4"/>
    <x:mergeCell ref="D5:O5"/>
    <x:mergeCell ref="D6:O6"/>
  </x:mergeCells>
  <x:pageMargins left="0.7" right="0.7" top="0.75" bottom="0.75" header="0.3" footer="0.3"/>
  <x:drawing xmlns:r="http://schemas.openxmlformats.org/officeDocument/2006/relationships" r:id="R53039ee4e7784586"/>
</x:worksheet>
</file>

<file path=xl/worksheets/sheet2.xml><?xml version="1.0" encoding="utf-8"?>
<x:worksheet xmlns:x="http://schemas.openxmlformats.org/spreadsheetml/2006/main">
  <x:sheetFormatPr defaultRowHeight="15"/>
  <x:cols>
    <x:col min="1" max="1" width="44.40999984741211" hidden="0" customWidth="1"/>
    <x:col min="2" max="2" width="31.219999313354492" hidden="0" customWidth="1"/>
    <x:col min="3" max="3" width="20.049999237060547" hidden="0" customWidth="1"/>
    <x:col min="4" max="4" width="23.149999618530273" hidden="0" customWidth="1"/>
    <x:col min="5" max="5" width="64.19999694824219" hidden="0" customWidth="1"/>
    <x:col min="6" max="6" width="21.799999237060547" hidden="0" customWidth="1"/>
    <x:col min="7" max="7" width="16.290000915527344" hidden="0" customWidth="1"/>
    <x:col min="8" max="8" width="17.09000015258789" hidden="0" customWidth="1"/>
  </x:cols>
  <x:sheetData>
    <x:row r="1">
      <x:c r="A1" s="10" t="str">
        <x:v>unit</x:v>
      </x:c>
      <x:c r="B1" s="10" t="str">
        <x:v>scope</x:v>
      </x:c>
      <x:c r="C1" s="10" t="str">
        <x:v>total_fatal_shootings</x:v>
      </x:c>
      <x:c r="D1" s="10" t="str">
        <x:v>annualized_rate_per_1m</x:v>
      </x:c>
      <x:c r="E1" s="10" t="str">
        <x:v>population_basis</x:v>
      </x:c>
      <x:c r="F1" s="10" t="str">
        <x:v>population_value_used</x:v>
      </x:c>
      <x:c r="G1" s="10" t="str">
        <x:v>rate_ratio_vs_us</x:v>
      </x:c>
      <x:c r="H1" s="10" t="str">
        <x:v>rate_ratio_vs_nm</x:v>
      </x:c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United States</x:v>
      </x:c>
      <x:c r="B2" s="11" t="str">
        <x:v>National baseline</x:v>
      </x:c>
      <x:c r="C2" s="11" t="n">
        <x:v>10430</x:v>
      </x:c>
      <x:c r="D2" s="11" t="n">
        <x:v>3.1625970975679034</x:v>
      </x:c>
      <x:c r="E2" s="11" t="str">
        <x:v>sum of state population person-years, 2015-2024</x:v>
      </x:c>
      <x:c r="F2" s="11" t="n">
        <x:v>329792246</x:v>
      </x:c>
      <x:c r="G2" s="11" t="n">
        <x:v>1</x:v>
      </x:c>
      <x:c r="H2" s="11" t="n">
        <x:v>0.3040859204167974</x:v>
      </x:c>
    </x:row>
    <x:row r="3">
      <x:c r="A3" s="11" t="str">
        <x:v>New Mexico</x:v>
      </x:c>
      <x:c r="B3" s="11" t="str">
        <x:v>State baseline</x:v>
      </x:c>
      <x:c r="C3" s="11" t="n">
        <x:v>219</x:v>
      </x:c>
      <x:c r="D3" s="11" t="n">
        <x:v>10.400340447308668</x:v>
      </x:c>
      <x:c r="E3" s="11" t="str">
        <x:v>sum of annual NM population person-years, 2015-2024</x:v>
      </x:c>
      <x:c r="F3" s="11" t="n">
        <x:v>2105700</x:v>
      </x:c>
      <x:c r="G3" s="11" t="n">
        <x:v>3.288544233252704</x:v>
      </x:c>
      <x:c r="H3" s="11" t="n">
        <x:v>1</x:v>
      </x:c>
    </x:row>
    <x:row r="4">
      <x:c r="A4" s="11" t="str">
        <x:v>Albuquerque city</x:v>
      </x:c>
      <x:c r="B4" s="11" t="str">
        <x:v>City within NM</x:v>
      </x:c>
      <x:c r="C4" s="11" t="n">
        <x:v>77</x:v>
      </x:c>
      <x:c r="D4" s="11" t="n">
        <x:v>13.742000192744936</x:v>
      </x:c>
      <x:c r="E4" s="11" t="str">
        <x:v>constant 2024 Census QuickFacts city population denominator</x:v>
      </x:c>
      <x:c r="F4" s="11" t="n">
        <x:v>560326</x:v>
      </x:c>
      <x:c r="G4" s="11" t="n">
        <x:v>4.345163095012259</x:v>
      </x:c>
      <x:c r="H4" s="11" t="n">
        <x:v>1.321302919107903</x:v>
      </x:c>
    </x:row>
    <x:row r="5">
      <x:c r="A5" s="11" t="str">
        <x:v>APD-involved, Albuquerque city</x:v>
      </x:c>
      <x:c r="B5" s="11" t="str">
        <x:v>Agency involvement within city records</x:v>
      </x:c>
      <x:c r="C5" s="11" t="n">
        <x:v>51</x:v>
      </x:c>
      <x:c r="D5" s="11" t="n">
        <x:v>9.101844283506386</x:v>
      </x:c>
      <x:c r="E5" s="11" t="str">
        <x:v>constant 2024 Census QuickFacts city population denominator</x:v>
      </x:c>
      <x:c r="F5" s="11" t="n">
        <x:v>560326</x:v>
      </x:c>
      <x:c r="G5" s="11" t="n">
        <x:v>2.877965166826301</x:v>
      </x:c>
      <x:c r="H5" s="11" t="n">
        <x:v>0.8751486866818577</x:v>
      </x:c>
    </x:row>
    <x:row r="6">
      <x:c r="A6" s="11" t="str">
        <x:v>Rest of New Mexico excluding Albuquerque city records</x:v>
      </x:c>
      <x:c r="B6" s="11" t="str">
        <x:v>Approximate non-ABQ remainder</x:v>
      </x:c>
      <x:c r="C6" s="11" t="n">
        <x:v>142</x:v>
      </x:c>
      <x:c r="D6" s="11" t="n">
        <x:v>9.188714188280636</x:v>
      </x:c>
      <x:c r="E6" s="11" t="str">
        <x:v>constant 2024 NM population minus constant 2024 Albuquerque city population</x:v>
      </x:c>
      <x:c r="F6" s="11" t="n">
        <x:v>1545374</x:v>
      </x:c>
      <x:c r="G6" s="11" t="n">
        <x:v>2.9054330680777927</x:v>
      </x:c>
      <x:c r="H6" s="11" t="n">
        <x:v>0.8835012887158354</x:v>
      </x:c>
    </x:row>
  </x:sheetData>
  <x:pageMargins left="0.7" right="0.7" top="0.75" bottom="0.75" header="0.3" footer="0.3"/>
  <x:tableParts count="1">
    <x:tablePart xmlns:r="http://schemas.openxmlformats.org/officeDocument/2006/relationships" r:id="R884d6661dd5e41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19.25" hidden="0" customWidth="1"/>
    <x:col min="3" max="3" width="31.760000228881836" hidden="0" customWidth="1"/>
    <x:col min="4" max="4" width="33.779998779296875" hidden="0" customWidth="1"/>
    <x:col min="5" max="5" width="30.010000228881836" hidden="0" customWidth="1"/>
    <x:col min="6" max="6" width="19.25" hidden="0" customWidth="1"/>
    <x:col min="7" max="7" width="15.75" hidden="0" customWidth="1"/>
    <x:col min="8" max="8" width="26.920000076293945" hidden="0" customWidth="1"/>
    <x:col min="9" max="9" width="19.3799991607666" hidden="0" customWidth="1"/>
  </x:cols>
  <x:sheetData>
    <x:row r="1">
      <x:c r="A1" s="10" t="str">
        <x:v>year</x:v>
      </x:c>
      <x:c r="B1" s="10" t="str">
        <x:v>abq_fatal_shootings</x:v>
      </x:c>
      <x:c r="C1" s="10" t="str">
        <x:v>abq_rate_per_1m_const_2024_pop</x:v>
      </x:c>
      <x:c r="D1" s="10" t="str">
        <x:v>apd_involved_fatal_shootings_in_abq</x:v>
      </x:c>
      <x:c r="E1" s="10" t="str">
        <x:v>non_apd_fatal_shootings_in_abq</x:v>
      </x:c>
      <x:c r="F1" s="10" t="str">
        <x:v>gun_involved_count</x:v>
      </x:c>
      <x:c r="G1" s="10" t="str">
        <x:v>unarmed_count</x:v>
      </x:c>
      <x:c r="H1" s="10" t="str">
        <x:v>mental_illness_related_count</x:v>
      </x:c>
      <x:c r="I1" s="10" t="str">
        <x:v>body_camera_count</x:v>
      </x:c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n">
        <x:v>2015</x:v>
      </x:c>
      <x:c r="B2" s="11" t="n">
        <x:v>5</x:v>
      </x:c>
      <x:c r="C2" s="11" t="n">
        <x:v>8.923376748535675</x:v>
      </x:c>
      <x:c r="D2" s="11" t="n">
        <x:v>3</x:v>
      </x:c>
      <x:c r="E2" s="11" t="n">
        <x:v>2</x:v>
      </x:c>
      <x:c r="F2" s="11" t="n">
        <x:v>4</x:v>
      </x:c>
      <x:c r="G2" s="11" t="n">
        <x:v>0</x:v>
      </x:c>
      <x:c r="H2" s="11" t="n">
        <x:v>0</x:v>
      </x:c>
      <x:c r="I2" s="11" t="n">
        <x:v>3</x:v>
      </x:c>
    </x:row>
    <x:row r="3">
      <x:c r="A3" s="11" t="n">
        <x:v>2016</x:v>
      </x:c>
      <x:c r="B3" s="11" t="n">
        <x:v>6</x:v>
      </x:c>
      <x:c r="C3" s="11" t="n">
        <x:v>10.708052098242808</x:v>
      </x:c>
      <x:c r="D3" s="11" t="n">
        <x:v>4</x:v>
      </x:c>
      <x:c r="E3" s="11" t="n">
        <x:v>2</x:v>
      </x:c>
      <x:c r="F3" s="11" t="n">
        <x:v>6</x:v>
      </x:c>
      <x:c r="G3" s="11" t="n">
        <x:v>0</x:v>
      </x:c>
      <x:c r="H3" s="11" t="n">
        <x:v>2</x:v>
      </x:c>
      <x:c r="I3" s="11" t="n">
        <x:v>2</x:v>
      </x:c>
    </x:row>
    <x:row r="4">
      <x:c r="A4" s="11" t="n">
        <x:v>2017</x:v>
      </x:c>
      <x:c r="B4" s="11" t="n">
        <x:v>8</x:v>
      </x:c>
      <x:c r="C4" s="11" t="n">
        <x:v>14.27740279765708</x:v>
      </x:c>
      <x:c r="D4" s="11" t="n">
        <x:v>2</x:v>
      </x:c>
      <x:c r="E4" s="11" t="n">
        <x:v>6</x:v>
      </x:c>
      <x:c r="F4" s="11" t="n">
        <x:v>3</x:v>
      </x:c>
      <x:c r="G4" s="11" t="n">
        <x:v>2</x:v>
      </x:c>
      <x:c r="H4" s="11" t="n">
        <x:v>0</x:v>
      </x:c>
      <x:c r="I4" s="11" t="n">
        <x:v>1</x:v>
      </x:c>
    </x:row>
    <x:row r="5">
      <x:c r="A5" s="11" t="n">
        <x:v>2018</x:v>
      </x:c>
      <x:c r="B5" s="11" t="n">
        <x:v>9</x:v>
      </x:c>
      <x:c r="C5" s="11" t="n">
        <x:v>16.062078147364215</x:v>
      </x:c>
      <x:c r="D5" s="11" t="n">
        <x:v>7</x:v>
      </x:c>
      <x:c r="E5" s="11" t="n">
        <x:v>2</x:v>
      </x:c>
      <x:c r="F5" s="11" t="n">
        <x:v>7</x:v>
      </x:c>
      <x:c r="G5" s="11" t="n">
        <x:v>1</x:v>
      </x:c>
      <x:c r="H5" s="11" t="n">
        <x:v>2</x:v>
      </x:c>
      <x:c r="I5" s="11" t="n">
        <x:v>0</x:v>
      </x:c>
    </x:row>
    <x:row r="6">
      <x:c r="A6" s="11" t="n">
        <x:v>2019</x:v>
      </x:c>
      <x:c r="B6" s="11" t="n">
        <x:v>5</x:v>
      </x:c>
      <x:c r="C6" s="11" t="n">
        <x:v>8.923376748535675</x:v>
      </x:c>
      <x:c r="D6" s="11" t="n">
        <x:v>4</x:v>
      </x:c>
      <x:c r="E6" s="11" t="n">
        <x:v>1</x:v>
      </x:c>
      <x:c r="F6" s="11" t="n">
        <x:v>3</x:v>
      </x:c>
      <x:c r="G6" s="11" t="n">
        <x:v>0</x:v>
      </x:c>
      <x:c r="H6" s="11" t="n">
        <x:v>1</x:v>
      </x:c>
      <x:c r="I6" s="11" t="n">
        <x:v>0</x:v>
      </x:c>
    </x:row>
    <x:row r="7">
      <x:c r="A7" s="11" t="n">
        <x:v>2020</x:v>
      </x:c>
      <x:c r="B7" s="11" t="n">
        <x:v>6</x:v>
      </x:c>
      <x:c r="C7" s="11" t="n">
        <x:v>10.708052098242808</x:v>
      </x:c>
      <x:c r="D7" s="11" t="n">
        <x:v>5</x:v>
      </x:c>
      <x:c r="E7" s="11" t="n">
        <x:v>1</x:v>
      </x:c>
      <x:c r="F7" s="11" t="n">
        <x:v>5</x:v>
      </x:c>
      <x:c r="G7" s="11" t="n">
        <x:v>0</x:v>
      </x:c>
      <x:c r="H7" s="11" t="n">
        <x:v>1</x:v>
      </x:c>
      <x:c r="I7" s="11" t="n">
        <x:v>0</x:v>
      </x:c>
    </x:row>
    <x:row r="8">
      <x:c r="A8" s="11" t="n">
        <x:v>2021</x:v>
      </x:c>
      <x:c r="B8" s="11" t="n">
        <x:v>6</x:v>
      </x:c>
      <x:c r="C8" s="11" t="n">
        <x:v>10.708052098242808</x:v>
      </x:c>
      <x:c r="D8" s="11" t="n">
        <x:v>2</x:v>
      </x:c>
      <x:c r="E8" s="11" t="n">
        <x:v>4</x:v>
      </x:c>
      <x:c r="F8" s="11" t="n">
        <x:v>4</x:v>
      </x:c>
      <x:c r="G8" s="11" t="n">
        <x:v>1</x:v>
      </x:c>
      <x:c r="H8" s="11" t="n">
        <x:v>1</x:v>
      </x:c>
      <x:c r="I8" s="11" t="n">
        <x:v>4</x:v>
      </x:c>
    </x:row>
    <x:row r="9">
      <x:c r="A9" s="11" t="n">
        <x:v>2022</x:v>
      </x:c>
      <x:c r="B9" s="11" t="n">
        <x:v>14</x:v>
      </x:c>
      <x:c r="C9" s="11" t="n">
        <x:v>24.98545489589989</x:v>
      </x:c>
      <x:c r="D9" s="11" t="n">
        <x:v>10</x:v>
      </x:c>
      <x:c r="E9" s="11" t="n">
        <x:v>4</x:v>
      </x:c>
      <x:c r="F9" s="11" t="n">
        <x:v>7</x:v>
      </x:c>
      <x:c r="G9" s="11" t="n">
        <x:v>1</x:v>
      </x:c>
      <x:c r="H9" s="11" t="n">
        <x:v>5</x:v>
      </x:c>
      <x:c r="I9" s="11" t="n">
        <x:v>2</x:v>
      </x:c>
    </x:row>
    <x:row r="10">
      <x:c r="A10" s="11" t="n">
        <x:v>2023</x:v>
      </x:c>
      <x:c r="B10" s="11" t="n">
        <x:v>9</x:v>
      </x:c>
      <x:c r="C10" s="11" t="n">
        <x:v>16.062078147364215</x:v>
      </x:c>
      <x:c r="D10" s="11" t="n">
        <x:v>6</x:v>
      </x:c>
      <x:c r="E10" s="11" t="n">
        <x:v>3</x:v>
      </x:c>
      <x:c r="F10" s="11" t="n">
        <x:v>4</x:v>
      </x:c>
      <x:c r="G10" s="11" t="n">
        <x:v>0</x:v>
      </x:c>
      <x:c r="H10" s="11" t="n">
        <x:v>3</x:v>
      </x:c>
      <x:c r="I10" s="11" t="n">
        <x:v>2</x:v>
      </x:c>
    </x:row>
    <x:row r="11">
      <x:c r="A11" s="11" t="n">
        <x:v>2024</x:v>
      </x:c>
      <x:c r="B11" s="11" t="n">
        <x:v>9</x:v>
      </x:c>
      <x:c r="C11" s="11" t="n">
        <x:v>16.062078147364215</x:v>
      </x:c>
      <x:c r="D11" s="11" t="n">
        <x:v>8</x:v>
      </x:c>
      <x:c r="E11" s="11" t="n">
        <x:v>1</x:v>
      </x:c>
      <x:c r="F11" s="11" t="n">
        <x:v>7</x:v>
      </x:c>
      <x:c r="G11" s="11" t="n">
        <x:v>1</x:v>
      </x:c>
      <x:c r="H11" s="11" t="n">
        <x:v>0</x:v>
      </x:c>
      <x:c r="I11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5fd05b4074a4f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.690000534057617" hidden="0" customWidth="1"/>
    <x:col min="2" max="2" width="21.270000457763672" hidden="0" customWidth="1"/>
    <x:col min="3" max="3" width="44.81999969482422" hidden="0" customWidth="1"/>
  </x:cols>
  <x:sheetData>
    <x:row r="1">
      <x:c r="A1" s="10" t="str">
        <x:v>agency_name</x:v>
      </x:c>
      <x:c r="B1" s="10" t="str">
        <x:v>fatal_incidents_in_abq</x:v>
      </x:c>
      <x:c r="C1" s="10" t="str">
        <x:v>share_of_abq_incidents_multiagency_nonexclusive</x:v>
      </x:c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Albuquerque Police Department</x:v>
      </x:c>
      <x:c r="B2" s="11" t="n">
        <x:v>51</x:v>
      </x:c>
      <x:c r="C2" s="11" t="n">
        <x:v>0.6623376623376623</x:v>
      </x:c>
    </x:row>
    <x:row r="3">
      <x:c r="A3" s="11" t="str">
        <x:v>Bernalillo County Sheriff's Department</x:v>
      </x:c>
      <x:c r="B3" s="11" t="n">
        <x:v>17</x:v>
      </x:c>
      <x:c r="C3" s="11" t="n">
        <x:v>0.2207792207792207</x:v>
      </x:c>
    </x:row>
    <x:row r="4">
      <x:c r="A4" s="11" t="str">
        <x:v>New Mexico State Police</x:v>
      </x:c>
      <x:c r="B4" s="11" t="n">
        <x:v>6</x:v>
      </x:c>
      <x:c r="C4" s="11" t="n">
        <x:v>0.0779220779220779</x:v>
      </x:c>
    </x:row>
    <x:row r="5">
      <x:c r="A5" s="11" t="str">
        <x:v>U.S. Marshals Service</x:v>
      </x:c>
      <x:c r="B5" s="11" t="n">
        <x:v>4</x:v>
      </x:c>
      <x:c r="C5" s="11" t="n">
        <x:v>0.0519480519480519</x:v>
      </x:c>
    </x:row>
    <x:row r="6">
      <x:c r="A6" s="11" t="str">
        <x:v>Federal Bureau of Investigation</x:v>
      </x:c>
      <x:c r="B6" s="11" t="n">
        <x:v>2</x:v>
      </x:c>
      <x:c r="C6" s="11" t="n">
        <x:v>0.0259740259740259</x:v>
      </x:c>
    </x:row>
    <x:row r="7">
      <x:c r="A7" s="11" t="str">
        <x:v>Rio Rancho Police Department</x:v>
      </x:c>
      <x:c r="B7" s="11" t="n">
        <x:v>1</x:v>
      </x:c>
      <x:c r="C7" s="11" t="n">
        <x:v>0.0129870129870129</x:v>
      </x:c>
    </x:row>
  </x:sheetData>
  <x:pageMargins left="0.7" right="0.7" top="0.75" bottom="0.75" header="0.3" footer="0.3"/>
  <x:tableParts count="1">
    <x:tablePart xmlns:r="http://schemas.openxmlformats.org/officeDocument/2006/relationships" r:id="R463df3b4ca0d4a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.780000686645508" hidden="0" customWidth="1"/>
    <x:col min="2" max="2" width="15.210000038146973" hidden="0" customWidth="1"/>
    <x:col min="3" max="3" width="19.25" hidden="0" customWidth="1"/>
    <x:col min="4" max="4" width="19.110000610351562" hidden="0" customWidth="1"/>
    <x:col min="5" max="5" width="15.75" hidden="0" customWidth="1"/>
    <x:col min="6" max="6" width="15.479999542236328" hidden="0" customWidth="1"/>
    <x:col min="7" max="7" width="26.920000076293945" hidden="0" customWidth="1"/>
    <x:col min="8" max="8" width="26.780000686645508" hidden="0" customWidth="1"/>
    <x:col min="9" max="9" width="19.3799991607666" hidden="0" customWidth="1"/>
    <x:col min="10" max="10" width="19.25" hidden="0" customWidth="1"/>
  </x:cols>
  <x:sheetData>
    <x:row r="1">
      <x:c r="A1" s="10" t="str">
        <x:v>unit</x:v>
      </x:c>
      <x:c r="B1" s="10" t="str">
        <x:v>fatal_shootings</x:v>
      </x:c>
      <x:c r="C1" s="10" t="str">
        <x:v>gun_involved_count</x:v>
      </x:c>
      <x:c r="D1" s="10" t="str">
        <x:v>gun_involved_share</x:v>
      </x:c>
      <x:c r="E1" s="10" t="str">
        <x:v>unarmed_count</x:v>
      </x:c>
      <x:c r="F1" s="10" t="str">
        <x:v>unarmed_share</x:v>
      </x:c>
      <x:c r="G1" s="10" t="str">
        <x:v>mental_illness_related_count</x:v>
      </x:c>
      <x:c r="H1" s="10" t="str">
        <x:v>mental_illness_related_share</x:v>
      </x:c>
      <x:c r="I1" s="10" t="str">
        <x:v>body_camera_count</x:v>
      </x:c>
      <x:c r="J1" s="10" t="str">
        <x:v>body_camera_share</x:v>
      </x:c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Albuquerque city</x:v>
      </x:c>
      <x:c r="B2" s="11" t="n">
        <x:v>77</x:v>
      </x:c>
      <x:c r="C2" s="11" t="n">
        <x:v>50</x:v>
      </x:c>
      <x:c r="D2" s="11" t="n">
        <x:v>0.6493506493506493</x:v>
      </x:c>
      <x:c r="E2" s="11" t="n">
        <x:v>6</x:v>
      </x:c>
      <x:c r="F2" s="11" t="n">
        <x:v>0.0779220779220779</x:v>
      </x:c>
      <x:c r="G2" s="11" t="n">
        <x:v>15</x:v>
      </x:c>
      <x:c r="H2" s="11" t="n">
        <x:v>0.1948051948051948</x:v>
      </x:c>
      <x:c r="I2" s="11" t="n">
        <x:v>15</x:v>
      </x:c>
      <x:c r="J2" s="11" t="n">
        <x:v>0.1948051948051948</x:v>
      </x:c>
    </x:row>
    <x:row r="3">
      <x:c r="A3" s="11" t="str">
        <x:v>APD-involved in Albuquerque city</x:v>
      </x:c>
      <x:c r="B3" s="11" t="n">
        <x:v>51</x:v>
      </x:c>
      <x:c r="C3" s="11" t="n">
        <x:v>37</x:v>
      </x:c>
      <x:c r="D3" s="11" t="n">
        <x:v>0.7254901960784313</x:v>
      </x:c>
      <x:c r="E3" s="11" t="n">
        <x:v>3</x:v>
      </x:c>
      <x:c r="F3" s="11" t="n">
        <x:v>0.0588235294117647</x:v>
      </x:c>
      <x:c r="G3" s="11" t="n">
        <x:v>10</x:v>
      </x:c>
      <x:c r="H3" s="11" t="n">
        <x:v>0.196078431372549</x:v>
      </x:c>
      <x:c r="I3" s="11" t="n">
        <x:v>11</x:v>
      </x:c>
      <x:c r="J3" s="11" t="n">
        <x:v>0.2156862745098039</x:v>
      </x:c>
    </x:row>
    <x:row r="4">
      <x:c r="A4" s="11" t="str">
        <x:v>New Mexico</x:v>
      </x:c>
      <x:c r="B4" s="11" t="n">
        <x:v>219</x:v>
      </x:c>
      <x:c r="C4" s="11" t="n">
        <x:v>144</x:v>
      </x:c>
      <x:c r="D4" s="11" t="n">
        <x:v>0.6575342465753424</x:v>
      </x:c>
      <x:c r="E4" s="11" t="n">
        <x:v>12</x:v>
      </x:c>
      <x:c r="F4" s="11" t="n">
        <x:v>0.0547945205479452</x:v>
      </x:c>
      <x:c r="G4" s="11" t="n">
        <x:v>35</x:v>
      </x:c>
      <x:c r="H4" s="11" t="n">
        <x:v>0.1598173515981735</x:v>
      </x:c>
      <x:c r="I4" s="11" t="n">
        <x:v>39</x:v>
      </x:c>
      <x:c r="J4" s="11" t="n">
        <x:v>0.1780821917808219</x:v>
      </x:c>
    </x:row>
    <x:row r="5">
      <x:c r="A5" s="11" t="str">
        <x:v>United States</x:v>
      </x:c>
      <x:c r="B5" s="11" t="n">
        <x:v>10430</x:v>
      </x:c>
      <x:c r="C5" s="11" t="n">
        <x:v>6040</x:v>
      </x:c>
      <x:c r="D5" s="11" t="n">
        <x:v>0.5790987535953979</x:v>
      </x:c>
      <x:c r="E5" s="11" t="n">
        <x:v>565</x:v>
      </x:c>
      <x:c r="F5" s="11" t="n">
        <x:v>0.0541706615532118</x:v>
      </x:c>
      <x:c r="G5" s="11" t="n">
        <x:v>2057</x:v>
      </x:c>
      <x:c r="H5" s="11" t="n">
        <x:v>0.1972195589645254</x:v>
      </x:c>
      <x:c r="I5" s="11" t="n">
        <x:v>1799</x:v>
      </x:c>
      <x:c r="J5" s="11" t="n">
        <x:v>0.17248322147651</x:v>
      </x:c>
    </x:row>
  </x:sheetData>
  <x:pageMargins left="0.7" right="0.7" top="0.75" bottom="0.75" header="0.3" footer="0.3"/>
  <x:tableParts count="1">
    <x:tablePart xmlns:r="http://schemas.openxmlformats.org/officeDocument/2006/relationships" r:id="R7118093e6ac348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3.859999656677246" hidden="0" customWidth="1"/>
    <x:col min="3" max="3" width="6.190000057220459" hidden="0" customWidth="1"/>
    <x:col min="4" max="4" width="22.34000015258789" hidden="0" customWidth="1"/>
    <x:col min="5" max="5" width="5.519999980926514" hidden="0" customWidth="1"/>
    <x:col min="6" max="6" width="8.34000015258789" hidden="0" customWidth="1"/>
    <x:col min="7" max="7" width="13.1899995803833" hidden="0" customWidth="1"/>
    <x:col min="8" max="8" width="14.539999961853027" hidden="0" customWidth="1"/>
    <x:col min="9" max="9" width="12.380000114440918" hidden="0" customWidth="1"/>
    <x:col min="10" max="10" width="11.569999694824219" hidden="0" customWidth="1"/>
    <x:col min="11" max="11" width="25.440000534057617" hidden="0" customWidth="1"/>
    <x:col min="12" max="12" width="13.729999542236328" hidden="0" customWidth="1"/>
    <x:col min="13" max="13" width="13.59000015258789" hidden="0" customWidth="1"/>
    <x:col min="14" max="14" width="57.470001220703125" hidden="0" customWidth="1"/>
    <x:col min="15" max="15" width="10.359999656677246" hidden="0" customWidth="1"/>
    <x:col min="16" max="16" width="11.039999961853027" hidden="0" customWidth="1"/>
  </x:cols>
  <x:sheetData>
    <x:row r="1">
      <x:c r="A1" s="10" t="str">
        <x:v>incident_id</x:v>
      </x:c>
      <x:c r="B1" s="10" t="str">
        <x:v>incident_date</x:v>
      </x:c>
      <x:c r="C1" s="10" t="str">
        <x:v>year</x:v>
      </x:c>
      <x:c r="D1" s="10" t="str">
        <x:v>victim_name</x:v>
      </x:c>
      <x:c r="E1" s="10" t="str">
        <x:v>age</x:v>
      </x:c>
      <x:c r="F1" s="10" t="str">
        <x:v>gender</x:v>
      </x:c>
      <x:c r="G1" s="10" t="str">
        <x:v>race_label</x:v>
      </x:c>
      <x:c r="H1" s="10" t="str">
        <x:v>armed_with</x:v>
      </x:c>
      <x:c r="I1" s="10" t="str">
        <x:v>threat_type</x:v>
      </x:c>
      <x:c r="J1" s="10" t="str">
        <x:v>flee_status</x:v>
      </x:c>
      <x:c r="K1" s="10" t="str">
        <x:v>was_mental_illness_related</x:v>
      </x:c>
      <x:c r="L1" s="10" t="str">
        <x:v>body_camera</x:v>
      </x:c>
      <x:c r="M1" s="10" t="str">
        <x:v>apd_involved</x:v>
      </x:c>
      <x:c r="N1" s="10" t="str">
        <x:v>agencies_involved</x:v>
      </x:c>
      <x:c r="O1" s="10" t="str">
        <x:v>latitude</x:v>
      </x:c>
      <x:c r="P1" s="10" t="str">
        <x:v>longitude</x:v>
      </x:c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n">
        <x:v>46</x:v>
      </x:c>
      <x:c r="B2" s="11" t="str">
        <x:v>2015-01-13</x:v>
      </x:c>
      <x:c r="C2" s="11" t="n">
        <x:v>2015</x:v>
      </x:c>
      <x:c r="D2" s="11" t="str">
        <x:v>John Edward O'Keefe</x:v>
      </x:c>
      <x:c r="E2" s="11" t="n">
        <x:v>34</x:v>
      </x:c>
      <x:c r="F2" s="11" t="str">
        <x:v>male</x:v>
      </x:c>
      <x:c r="G2" s="11" t="str">
        <x:v>White</x:v>
      </x:c>
      <x:c r="H2" s="11" t="str">
        <x:v>gun</x:v>
      </x:c>
      <x:c r="I2" s="11" t="str">
        <x:v>shoot</x:v>
      </x:c>
      <x:c r="J2" s="11" t="str">
        <x:v>foot</x:v>
      </x:c>
      <x:c r="K2" s="16" t="b">
        <x:v>0</x:v>
      </x:c>
      <x:c r="L2" s="16" t="b">
        <x:v>1</x:v>
      </x:c>
      <x:c r="M2" s="16" t="b">
        <x:v>1</x:v>
      </x:c>
      <x:c r="N2" s="11" t="str">
        <x:v>Albuquerque Police Department</x:v>
      </x:c>
      <x:c r="O2" s="11" t="n">
        <x:v>35.094656</x:v>
      </x:c>
      <x:c r="P2" s="11" t="n">
        <x:v>-106.586248</x:v>
      </x:c>
    </x:row>
    <x:row r="3">
      <x:c r="A3" s="11" t="n">
        <x:v>445</x:v>
      </x:c>
      <x:c r="B3" s="11" t="str">
        <x:v>2015-05-03</x:v>
      </x:c>
      <x:c r="C3" s="11" t="n">
        <x:v>2015</x:v>
      </x:c>
      <x:c r="D3" s="11" t="str">
        <x:v>Billy Grimm</x:v>
      </x:c>
      <x:c r="E3" s="11" t="n">
        <x:v>44</x:v>
      </x:c>
      <x:c r="F3" s="11" t="str">
        <x:v>male</x:v>
      </x:c>
      <x:c r="G3" s="11" t="str">
        <x:v>Hispanic</x:v>
      </x:c>
      <x:c r="H3" s="11" t="str">
        <x:v>gun</x:v>
      </x:c>
      <x:c r="I3" s="11" t="str">
        <x:v>point</x:v>
      </x:c>
      <x:c r="J3" s="11" t="str">
        <x:v>not_fleeing</x:v>
      </x:c>
      <x:c r="K3" s="16" t="b">
        <x:v>0</x:v>
      </x:c>
      <x:c r="L3" s="16" t="b">
        <x:v>0</x:v>
      </x:c>
      <x:c r="M3" s="16" t="b">
        <x:v>0</x:v>
      </x:c>
      <x:c r="N3" s="11" t="str">
        <x:v>Bernalillo County Sheriff's Department</x:v>
      </x:c>
      <x:c r="O3" s="11" t="n">
        <x:v>35.051983</x:v>
      </x:c>
      <x:c r="P3" s="11" t="n">
        <x:v>-106.68746</x:v>
      </x:c>
    </x:row>
    <x:row r="4">
      <x:c r="A4" s="11" t="n">
        <x:v>692</x:v>
      </x:c>
      <x:c r="B4" s="11" t="str">
        <x:v>2015-07-31</x:v>
      </x:c>
      <x:c r="C4" s="11" t="n">
        <x:v>2015</x:v>
      </x:c>
      <x:c r="D4" s="11" t="str">
        <x:v>Rafael Molina Jr.</x:v>
      </x:c>
      <x:c r="E4" s="11" t="n">
        <x:v>33</x:v>
      </x:c>
      <x:c r="F4" s="11" t="str">
        <x:v>male</x:v>
      </x:c>
      <x:c r="G4" s="11" t="str">
        <x:v>Hispanic</x:v>
      </x:c>
      <x:c r="H4" s="11" t="str">
        <x:v>gun</x:v>
      </x:c>
      <x:c r="I4" s="11" t="str">
        <x:v>point</x:v>
      </x:c>
      <x:c r="J4" s="11" t="str">
        <x:v>not_fleeing</x:v>
      </x:c>
      <x:c r="K4" s="16" t="b">
        <x:v>0</x:v>
      </x:c>
      <x:c r="L4" s="16" t="b">
        <x:v>1</x:v>
      </x:c>
      <x:c r="M4" s="16" t="b">
        <x:v>1</x:v>
      </x:c>
      <x:c r="N4" s="11" t="str">
        <x:v>Albuquerque Police Department</x:v>
      </x:c>
      <x:c r="O4" s="11" t="n">
        <x:v>35.0726273</x:v>
      </x:c>
      <x:c r="P4" s="11" t="n">
        <x:v>-106.6431762</x:v>
      </x:c>
    </x:row>
    <x:row r="5">
      <x:c r="A5" s="11" t="n">
        <x:v>997</x:v>
      </x:c>
      <x:c r="B5" s="11" t="str">
        <x:v>2015-11-11</x:v>
      </x:c>
      <x:c r="C5" s="11" t="n">
        <x:v>2015</x:v>
      </x:c>
      <x:c r="D5" s="11" t="str">
        <x:v>Joseph Jaramillo</x:v>
      </x:c>
      <x:c r="E5" s="11" t="n">
        <x:v>31</x:v>
      </x:c>
      <x:c r="F5" s="11" t="str">
        <x:v>male</x:v>
      </x:c>
      <x:c r="G5" s="11" t="str">
        <x:v>Hispanic</x:v>
      </x:c>
      <x:c r="H5" s="11" t="str">
        <x:v>missing</x:v>
      </x:c>
      <x:c r="I5" s="11" t="str">
        <x:v>threat</x:v>
      </x:c>
      <x:c r="J5" s="11" t="str">
        <x:v>car</x:v>
      </x:c>
      <x:c r="K5" s="16" t="b">
        <x:v>0</x:v>
      </x:c>
      <x:c r="L5" s="16" t="b">
        <x:v>0</x:v>
      </x:c>
      <x:c r="M5" s="16" t="b">
        <x:v>0</x:v>
      </x:c>
      <x:c r="N5" s="11" t="str">
        <x:v>Bernalillo County Sheriff's Department</x:v>
      </x:c>
      <x:c r="O5" s="11" t="n">
        <x:v>35.0618824</x:v>
      </x:c>
      <x:c r="P5" s="11" t="n">
        <x:v>-106.6832523</x:v>
      </x:c>
    </x:row>
    <x:row r="6">
      <x:c r="A6" s="11" t="n">
        <x:v>1117</x:v>
      </x:c>
      <x:c r="B6" s="11" t="str">
        <x:v>2015-12-22</x:v>
      </x:c>
      <x:c r="C6" s="11" t="n">
        <x:v>2015</x:v>
      </x:c>
      <x:c r="D6" s="11" t="str">
        <x:v>Jose Rodriguez</x:v>
      </x:c>
      <x:c r="E6" s="11" t="n">
        <x:v>19</x:v>
      </x:c>
      <x:c r="F6" s="11" t="str">
        <x:v>male</x:v>
      </x:c>
      <x:c r="G6" s="11" t="str">
        <x:v>Hispanic</x:v>
      </x:c>
      <x:c r="H6" s="11" t="str">
        <x:v>gun</x:v>
      </x:c>
      <x:c r="I6" s="11" t="str">
        <x:v>undetermined</x:v>
      </x:c>
      <x:c r="J6" s="11" t="str">
        <x:v>foot</x:v>
      </x:c>
      <x:c r="K6" s="16" t="b">
        <x:v>0</x:v>
      </x:c>
      <x:c r="L6" s="16" t="b">
        <x:v>1</x:v>
      </x:c>
      <x:c r="M6" s="16" t="b">
        <x:v>1</x:v>
      </x:c>
      <x:c r="N6" s="11" t="str">
        <x:v>Albuquerque Police Department</x:v>
      </x:c>
      <x:c r="O6" s="11" t="n">
        <x:v>35.0756535</x:v>
      </x:c>
      <x:c r="P6" s="11" t="n">
        <x:v>-106.5658348</x:v>
      </x:c>
    </x:row>
    <x:row r="7">
      <x:c r="A7" s="11" t="n">
        <x:v>1232</x:v>
      </x:c>
      <x:c r="B7" s="11" t="str">
        <x:v>2016-02-01</x:v>
      </x:c>
      <x:c r="C7" s="11" t="n">
        <x:v>2016</x:v>
      </x:c>
      <x:c r="D7" s="11" t="str">
        <x:v>Edgar Rene Alvarado</x:v>
      </x:c>
      <x:c r="E7" s="11" t="n">
        <x:v>21</x:v>
      </x:c>
      <x:c r="F7" s="11" t="str">
        <x:v>male</x:v>
      </x:c>
      <x:c r="G7" s="11" t="str">
        <x:v>Hispanic</x:v>
      </x:c>
      <x:c r="H7" s="11" t="str">
        <x:v>gun</x:v>
      </x:c>
      <x:c r="I7" s="11" t="str">
        <x:v>shoot</x:v>
      </x:c>
      <x:c r="J7" s="11" t="str">
        <x:v>car</x:v>
      </x:c>
      <x:c r="K7" s="16" t="b">
        <x:v>1</x:v>
      </x:c>
      <x:c r="L7" s="16" t="b">
        <x:v>1</x:v>
      </x:c>
      <x:c r="M7" s="16" t="b">
        <x:v>1</x:v>
      </x:c>
      <x:c r="N7" s="11" t="str">
        <x:v>Albuquerque Police Department; Bernalillo County Sheriff's Department</x:v>
      </x:c>
      <x:c r="O7" s="11" t="n">
        <x:v>35.0937578</x:v>
      </x:c>
      <x:c r="P7" s="11" t="n">
        <x:v>-106.5834068</x:v>
      </x:c>
    </x:row>
    <x:row r="8">
      <x:c r="A8" s="11" t="n">
        <x:v>1294</x:v>
      </x:c>
      <x:c r="B8" s="11" t="str">
        <x:v>2016-02-20</x:v>
      </x:c>
      <x:c r="C8" s="11" t="n">
        <x:v>2016</x:v>
      </x:c>
      <x:c r="D8" s="11" t="str">
        <x:v>Edgar Camacho-Alvarado</x:v>
      </x:c>
      <x:c r="E8" s="11" t="n">
        <x:v>23</x:v>
      </x:c>
      <x:c r="F8" s="11" t="str">
        <x:v>male</x:v>
      </x:c>
      <x:c r="G8" s="11" t="str">
        <x:v>Hispanic</x:v>
      </x:c>
      <x:c r="H8" s="11" t="str">
        <x:v>gun</x:v>
      </x:c>
      <x:c r="I8" s="11" t="str">
        <x:v>point</x:v>
      </x:c>
      <x:c r="J8" s="11" t="str">
        <x:v>foot</x:v>
      </x:c>
      <x:c r="K8" s="16" t="b">
        <x:v>0</x:v>
      </x:c>
      <x:c r="L8" s="16" t="b">
        <x:v>0</x:v>
      </x:c>
      <x:c r="M8" s="16" t="b">
        <x:v>0</x:v>
      </x:c>
      <x:c r="N8" s="11" t="str">
        <x:v>U.S. Marshals Service</x:v>
      </x:c>
      <x:c r="O8" s="11" t="n">
        <x:v>35.079544</x:v>
      </x:c>
      <x:c r="P8" s="11" t="n">
        <x:v>-106.719762</x:v>
      </x:c>
    </x:row>
    <x:row r="9">
      <x:c r="A9" s="11" t="n">
        <x:v>1492</x:v>
      </x:c>
      <x:c r="B9" s="11" t="str">
        <x:v>2016-04-26</x:v>
      </x:c>
      <x:c r="C9" s="11" t="n">
        <x:v>2016</x:v>
      </x:c>
      <x:c r="D9" s="11" t="str">
        <x:v>Jacquelyn Burke</x:v>
      </x:c>
      <x:c r="E9" s="11" t="n">
        <x:v>24</x:v>
      </x:c>
      <x:c r="F9" s="11" t="str">
        <x:v>female</x:v>
      </x:c>
      <x:c r="G9" s="11" t="str">
        <x:v>White</x:v>
      </x:c>
      <x:c r="H9" s="11" t="str">
        <x:v>gun</x:v>
      </x:c>
      <x:c r="I9" s="11" t="str">
        <x:v>point</x:v>
      </x:c>
      <x:c r="J9" s="11" t="str">
        <x:v>car</x:v>
      </x:c>
      <x:c r="K9" s="16" t="b">
        <x:v>1</x:v>
      </x:c>
      <x:c r="L9" s="16" t="b">
        <x:v>0</x:v>
      </x:c>
      <x:c r="M9" s="16" t="b">
        <x:v>0</x:v>
      </x:c>
      <x:c r="N9" s="11" t="str">
        <x:v>Bernalillo County Sheriff's Department</x:v>
      </x:c>
      <x:c r="O9" s="11" t="n">
        <x:v>35.1456334</x:v>
      </x:c>
      <x:c r="P9" s="11" t="n">
        <x:v>-106.5267234</x:v>
      </x:c>
    </x:row>
    <x:row r="10">
      <x:c r="A10" s="11" t="n">
        <x:v>1567</x:v>
      </x:c>
      <x:c r="B10" s="11" t="str">
        <x:v>2016-05-24</x:v>
      </x:c>
      <x:c r="C10" s="11" t="n">
        <x:v>2016</x:v>
      </x:c>
      <x:c r="D10" s="11" t="str">
        <x:v>Mario Montoya</x:v>
      </x:c>
      <x:c r="E10" s="11" t="n">
        <x:v>31</x:v>
      </x:c>
      <x:c r="F10" s="11" t="str">
        <x:v>male</x:v>
      </x:c>
      <x:c r="G10" s="11" t="str">
        <x:v>Hispanic</x:v>
      </x:c>
      <x:c r="H10" s="11" t="str">
        <x:v>gun</x:v>
      </x:c>
      <x:c r="I10" s="11" t="str">
        <x:v>shoot</x:v>
      </x:c>
      <x:c r="J10" s="11" t="str">
        <x:v>not_fleeing</x:v>
      </x:c>
      <x:c r="K10" s="16" t="b">
        <x:v>0</x:v>
      </x:c>
      <x:c r="L10" s="16" t="b">
        <x:v>0</x:v>
      </x:c>
      <x:c r="M10" s="16" t="b">
        <x:v>1</x:v>
      </x:c>
      <x:c r="N10" s="11" t="str">
        <x:v>Albuquerque Police Department; U.S. Marshals Service</x:v>
      </x:c>
      <x:c r="O10" s="11" t="n">
        <x:v>35.0694603</x:v>
      </x:c>
      <x:c r="P10" s="11" t="n">
        <x:v>-106.5096836</x:v>
      </x:c>
    </x:row>
    <x:row r="11">
      <x:c r="A11" s="11" t="n">
        <x:v>1582</x:v>
      </x:c>
      <x:c r="B11" s="11" t="str">
        <x:v>2016-05-28</x:v>
      </x:c>
      <x:c r="C11" s="11" t="n">
        <x:v>2016</x:v>
      </x:c>
      <x:c r="D11" s="11" t="str">
        <x:v>Dennis Humphrey</x:v>
      </x:c>
      <x:c r="E11" s="11" t="n">
        <x:v>58</x:v>
      </x:c>
      <x:c r="F11" s="11" t="str">
        <x:v>male</x:v>
      </x:c>
      <x:c r="G11" s="11" t="str">
        <x:v>White</x:v>
      </x:c>
      <x:c r="H11" s="11" t="str">
        <x:v>gun</x:v>
      </x:c>
      <x:c r="I11" s="11" t="str">
        <x:v>point</x:v>
      </x:c>
      <x:c r="J11" s="11" t="str">
        <x:v>not_fleeing</x:v>
      </x:c>
      <x:c r="K11" s="16" t="b">
        <x:v>0</x:v>
      </x:c>
      <x:c r="L11" s="16" t="b">
        <x:v>1</x:v>
      </x:c>
      <x:c r="M11" s="16" t="b">
        <x:v>1</x:v>
      </x:c>
      <x:c r="N11" s="11" t="str">
        <x:v>Albuquerque Police Department</x:v>
      </x:c>
      <x:c r="O11" s="11" t="n">
        <x:v>35.128322</x:v>
      </x:c>
      <x:c r="P11" s="11" t="n">
        <x:v>-106.601025</x:v>
      </x:c>
    </x:row>
    <x:row r="12">
      <x:c r="A12" s="11" t="n">
        <x:v>1837</x:v>
      </x:c>
      <x:c r="B12" s="11" t="str">
        <x:v>2016-06-16</x:v>
      </x:c>
      <x:c r="C12" s="11" t="n">
        <x:v>2016</x:v>
      </x:c>
      <x:c r="D12" s="11" t="str">
        <x:v>Ronald Delfino</x:v>
      </x:c>
      <x:c r="E12" s="11" t="n">
        <x:v>21</x:v>
      </x:c>
      <x:c r="F12" s="11" t="str">
        <x:v>male</x:v>
      </x:c>
      <x:c r="G12" s="11" t="str">
        <x:v>Hispanic</x:v>
      </x:c>
      <x:c r="H12" s="11" t="str">
        <x:v>gun</x:v>
      </x:c>
      <x:c r="I12" s="11" t="str">
        <x:v>shoot</x:v>
      </x:c>
      <x:c r="J12" s="11" t="str">
        <x:v>car</x:v>
      </x:c>
      <x:c r="K12" s="16" t="b">
        <x:v>0</x:v>
      </x:c>
      <x:c r="L12" s="16" t="b">
        <x:v>0</x:v>
      </x:c>
      <x:c r="M12" s="16" t="b">
        <x:v>1</x:v>
      </x:c>
      <x:c r="N12" s="11" t="str">
        <x:v>Albuquerque Police Department</x:v>
      </x:c>
      <x:c r="O12" s="11" t="str"/>
      <x:c r="P12" s="11" t="str"/>
    </x:row>
    <x:row r="13">
      <x:c r="A13" s="11" t="n">
        <x:v>2203</x:v>
      </x:c>
      <x:c r="B13" s="11" t="str">
        <x:v>2017-01-07</x:v>
      </x:c>
      <x:c r="C13" s="11" t="n">
        <x:v>2017</x:v>
      </x:c>
      <x:c r="D13" s="11" t="str">
        <x:v>Gilbert Zambronio-Lovato</x:v>
      </x:c>
      <x:c r="E13" s="11" t="n">
        <x:v>38</x:v>
      </x:c>
      <x:c r="F13" s="11" t="str">
        <x:v>male</x:v>
      </x:c>
      <x:c r="G13" s="11" t="str">
        <x:v>Hispanic</x:v>
      </x:c>
      <x:c r="H13" s="11" t="str">
        <x:v>replica</x:v>
      </x:c>
      <x:c r="I13" s="11" t="str">
        <x:v>threat</x:v>
      </x:c>
      <x:c r="J13" s="11" t="str">
        <x:v>not_fleeing</x:v>
      </x:c>
      <x:c r="K13" s="16" t="b">
        <x:v>0</x:v>
      </x:c>
      <x:c r="L13" s="16" t="b">
        <x:v>0</x:v>
      </x:c>
      <x:c r="M13" s="16" t="b">
        <x:v>1</x:v>
      </x:c>
      <x:c r="N13" s="11" t="str">
        <x:v>Albuquerque Police Department</x:v>
      </x:c>
      <x:c r="O13" s="11" t="n">
        <x:v>35.1236886</x:v>
      </x:c>
      <x:c r="P13" s="11" t="n">
        <x:v>-106.6040344</x:v>
      </x:c>
    </x:row>
    <x:row r="14">
      <x:c r="A14" s="11" t="n">
        <x:v>2737</x:v>
      </x:c>
      <x:c r="B14" s="11" t="str">
        <x:v>2017-07-04</x:v>
      </x:c>
      <x:c r="C14" s="11" t="n">
        <x:v>2017</x:v>
      </x:c>
      <x:c r="D14" s="11" t="str">
        <x:v>Miguel Gonzales</x:v>
      </x:c>
      <x:c r="E14" s="11" t="n">
        <x:v>28</x:v>
      </x:c>
      <x:c r="F14" s="11" t="str">
        <x:v>male</x:v>
      </x:c>
      <x:c r="G14" s="11" t="str">
        <x:v>Hispanic</x:v>
      </x:c>
      <x:c r="H14" s="11" t="str">
        <x:v>gun</x:v>
      </x:c>
      <x:c r="I14" s="11" t="str">
        <x:v>undetermined</x:v>
      </x:c>
      <x:c r="J14" s="11" t="str">
        <x:v>other</x:v>
      </x:c>
      <x:c r="K14" s="16" t="b">
        <x:v>0</x:v>
      </x:c>
      <x:c r="L14" s="16" t="b">
        <x:v>0</x:v>
      </x:c>
      <x:c r="M14" s="16" t="b">
        <x:v>0</x:v>
      </x:c>
      <x:c r="N14" s="11" t="str">
        <x:v>Bernalillo County Sheriff's Department</x:v>
      </x:c>
      <x:c r="O14" s="11" t="n">
        <x:v>35.0525879</x:v>
      </x:c>
      <x:c r="P14" s="11" t="n">
        <x:v>-106.7219408</x:v>
      </x:c>
    </x:row>
    <x:row r="15">
      <x:c r="A15" s="11" t="n">
        <x:v>2813</x:v>
      </x:c>
      <x:c r="B15" s="11" t="str">
        <x:v>2017-07-28</x:v>
      </x:c>
      <x:c r="C15" s="11" t="n">
        <x:v>2017</x:v>
      </x:c>
      <x:c r="D15" s="11" t="str">
        <x:v>Raymond Cruz</x:v>
      </x:c>
      <x:c r="E15" s="11" t="n">
        <x:v>37</x:v>
      </x:c>
      <x:c r="F15" s="11" t="str">
        <x:v>male</x:v>
      </x:c>
      <x:c r="G15" s="11" t="str">
        <x:v>Hispanic</x:v>
      </x:c>
      <x:c r="H15" s="11" t="str">
        <x:v>missing</x:v>
      </x:c>
      <x:c r="I15" s="11" t="str">
        <x:v>attack</x:v>
      </x:c>
      <x:c r="J15" s="11" t="str">
        <x:v>car</x:v>
      </x:c>
      <x:c r="K15" s="16" t="b">
        <x:v>0</x:v>
      </x:c>
      <x:c r="L15" s="16" t="b">
        <x:v>0</x:v>
      </x:c>
      <x:c r="M15" s="16" t="b">
        <x:v>0</x:v>
      </x:c>
      <x:c r="N15" s="11" t="str">
        <x:v>Bernalillo County Sheriff's Department</x:v>
      </x:c>
      <x:c r="O15" s="11" t="n">
        <x:v>34.9917498</x:v>
      </x:c>
      <x:c r="P15" s="11" t="n">
        <x:v>-106.6649591</x:v>
      </x:c>
    </x:row>
    <x:row r="16">
      <x:c r="A16" s="11" t="n">
        <x:v>2823</x:v>
      </x:c>
      <x:c r="B16" s="11" t="str">
        <x:v>2017-07-31</x:v>
      </x:c>
      <x:c r="C16" s="11" t="n">
        <x:v>2017</x:v>
      </x:c>
      <x:c r="D16" s="11" t="str">
        <x:v>Robert Savelli</x:v>
      </x:c>
      <x:c r="E16" s="11" t="n">
        <x:v>43</x:v>
      </x:c>
      <x:c r="F16" s="11" t="str">
        <x:v>male</x:v>
      </x:c>
      <x:c r="G16" s="11" t="str">
        <x:v>White</x:v>
      </x:c>
      <x:c r="H16" s="11" t="str">
        <x:v>gun</x:v>
      </x:c>
      <x:c r="I16" s="11" t="str">
        <x:v>point</x:v>
      </x:c>
      <x:c r="J16" s="11" t="str">
        <x:v>not_fleeing</x:v>
      </x:c>
      <x:c r="K16" s="16" t="b">
        <x:v>0</x:v>
      </x:c>
      <x:c r="L16" s="16" t="b">
        <x:v>1</x:v>
      </x:c>
      <x:c r="M16" s="16" t="b">
        <x:v>1</x:v>
      </x:c>
      <x:c r="N16" s="11" t="str">
        <x:v>Albuquerque Police Department</x:v>
      </x:c>
      <x:c r="O16" s="11" t="n">
        <x:v>35.1092715</x:v>
      </x:c>
      <x:c r="P16" s="11" t="n">
        <x:v>-106.6146673</x:v>
      </x:c>
    </x:row>
    <x:row r="17">
      <x:c r="A17" s="11" t="n">
        <x:v>2890</x:v>
      </x:c>
      <x:c r="B17" s="11" t="str">
        <x:v>2017-08-22</x:v>
      </x:c>
      <x:c r="C17" s="11" t="n">
        <x:v>2017</x:v>
      </x:c>
      <x:c r="D17" s="11" t="str">
        <x:v>Henry Rivera Jr.</x:v>
      </x:c>
      <x:c r="E17" s="11" t="n">
        <x:v>71</x:v>
      </x:c>
      <x:c r="F17" s="11" t="str">
        <x:v>male</x:v>
      </x:c>
      <x:c r="G17" s="11" t="str">
        <x:v>Hispanic</x:v>
      </x:c>
      <x:c r="H17" s="11" t="str">
        <x:v>missing</x:v>
      </x:c>
      <x:c r="I17" s="11" t="str">
        <x:v>attack</x:v>
      </x:c>
      <x:c r="J17" s="11" t="str">
        <x:v>car</x:v>
      </x:c>
      <x:c r="K17" s="16" t="b">
        <x:v>0</x:v>
      </x:c>
      <x:c r="L17" s="16" t="b">
        <x:v>0</x:v>
      </x:c>
      <x:c r="M17" s="16" t="b">
        <x:v>0</x:v>
      </x:c>
      <x:c r="N17" s="11" t="str">
        <x:v>Rio Rancho Police Department</x:v>
      </x:c>
      <x:c r="O17" s="11" t="n">
        <x:v>35.2033113</x:v>
      </x:c>
      <x:c r="P17" s="11" t="n">
        <x:v>-106.7033371</x:v>
      </x:c>
    </x:row>
    <x:row r="18">
      <x:c r="A18" s="11" t="n">
        <x:v>3133</x:v>
      </x:c>
      <x:c r="B18" s="11" t="str">
        <x:v>2017-11-10</x:v>
      </x:c>
      <x:c r="C18" s="11" t="n">
        <x:v>2017</x:v>
      </x:c>
      <x:c r="D18" s="11" t="str">
        <x:v>Matthew Joseph Scudero</x:v>
      </x:c>
      <x:c r="E18" s="11" t="n">
        <x:v>50</x:v>
      </x:c>
      <x:c r="F18" s="11" t="str">
        <x:v>male</x:v>
      </x:c>
      <x:c r="G18" s="11" t="str">
        <x:v>White</x:v>
      </x:c>
      <x:c r="H18" s="11" t="str">
        <x:v>gun</x:v>
      </x:c>
      <x:c r="I18" s="11" t="str">
        <x:v>shoot</x:v>
      </x:c>
      <x:c r="J18" s="11" t="str">
        <x:v>not_fleeing</x:v>
      </x:c>
      <x:c r="K18" s="16" t="b">
        <x:v>0</x:v>
      </x:c>
      <x:c r="L18" s="16" t="b">
        <x:v>0</x:v>
      </x:c>
      <x:c r="M18" s="16" t="b">
        <x:v>0</x:v>
      </x:c>
      <x:c r="N18" s="11" t="str">
        <x:v>Bernalillo County Sheriff's Department</x:v>
      </x:c>
      <x:c r="O18" s="11" t="n">
        <x:v>35.1986218</x:v>
      </x:c>
      <x:c r="P18" s="11" t="n">
        <x:v>-106.610671</x:v>
      </x:c>
    </x:row>
    <x:row r="19">
      <x:c r="A19" s="11" t="n">
        <x:v>3145</x:v>
      </x:c>
      <x:c r="B19" s="11" t="str">
        <x:v>2017-11-17</x:v>
      </x:c>
      <x:c r="C19" s="11" t="n">
        <x:v>2017</x:v>
      </x:c>
      <x:c r="D19" s="11" t="str">
        <x:v>Martin Jim</x:v>
      </x:c>
      <x:c r="E19" s="11" t="n">
        <x:v>25</x:v>
      </x:c>
      <x:c r="F19" s="11" t="str">
        <x:v>male</x:v>
      </x:c>
      <x:c r="G19" s="11" t="str">
        <x:v>White</x:v>
      </x:c>
      <x:c r="H19" s="11" t="str">
        <x:v>unarmed</x:v>
      </x:c>
      <x:c r="I19" s="11" t="str">
        <x:v>accident</x:v>
      </x:c>
      <x:c r="J19" s="11" t="str">
        <x:v>car</x:v>
      </x:c>
      <x:c r="K19" s="16" t="b">
        <x:v>0</x:v>
      </x:c>
      <x:c r="L19" s="16" t="b">
        <x:v>0</x:v>
      </x:c>
      <x:c r="M19" s="16" t="b">
        <x:v>0</x:v>
      </x:c>
      <x:c r="N19" s="11" t="str">
        <x:v>Bernalillo County Sheriff's Department</x:v>
      </x:c>
      <x:c r="O19" s="11" t="n">
        <x:v>35.0973532</x:v>
      </x:c>
      <x:c r="P19" s="11" t="n">
        <x:v>-106.7084002</x:v>
      </x:c>
    </x:row>
    <x:row r="20">
      <x:c r="A20" s="11" t="n">
        <x:v>3146</x:v>
      </x:c>
      <x:c r="B20" s="11" t="str">
        <x:v>2017-11-17</x:v>
      </x:c>
      <x:c r="C20" s="11" t="n">
        <x:v>2017</x:v>
      </x:c>
      <x:c r="D20" s="11" t="str">
        <x:v>Isaac Padilla</x:v>
      </x:c>
      <x:c r="E20" s="11" t="n">
        <x:v>23</x:v>
      </x:c>
      <x:c r="F20" s="11" t="str">
        <x:v>male</x:v>
      </x:c>
      <x:c r="G20" s="11" t="str">
        <x:v>Hispanic</x:v>
      </x:c>
      <x:c r="H20" s="11" t="str">
        <x:v>unarmed</x:v>
      </x:c>
      <x:c r="I20" s="11" t="str">
        <x:v>flee</x:v>
      </x:c>
      <x:c r="J20" s="11" t="str">
        <x:v>car</x:v>
      </x:c>
      <x:c r="K20" s="16" t="b">
        <x:v>0</x:v>
      </x:c>
      <x:c r="L20" s="16" t="b">
        <x:v>0</x:v>
      </x:c>
      <x:c r="M20" s="16" t="b">
        <x:v>0</x:v>
      </x:c>
      <x:c r="N20" s="11" t="str">
        <x:v>Bernalillo County Sheriff's Department</x:v>
      </x:c>
      <x:c r="O20" s="11" t="n">
        <x:v>35.0973532</x:v>
      </x:c>
      <x:c r="P20" s="11" t="n">
        <x:v>-106.7084002</x:v>
      </x:c>
    </x:row>
    <x:row r="21">
      <x:c r="A21" s="11" t="n">
        <x:v>3268</x:v>
      </x:c>
      <x:c r="B21" s="11" t="str">
        <x:v>2018-01-06</x:v>
      </x:c>
      <x:c r="C21" s="11" t="n">
        <x:v>2018</x:v>
      </x:c>
      <x:c r="D21" s="11" t="str">
        <x:v>Daniel Saavedra-Arreola</x:v>
      </x:c>
      <x:c r="E21" s="11" t="n">
        <x:v>24</x:v>
      </x:c>
      <x:c r="F21" s="11" t="str">
        <x:v>male</x:v>
      </x:c>
      <x:c r="G21" s="11" t="str">
        <x:v>Hispanic</x:v>
      </x:c>
      <x:c r="H21" s="11" t="str">
        <x:v>knife;blunt_object</x:v>
      </x:c>
      <x:c r="I21" s="11" t="str">
        <x:v>threat</x:v>
      </x:c>
      <x:c r="J21" s="11" t="str">
        <x:v>not_fleeing</x:v>
      </x:c>
      <x:c r="K21" s="16" t="b">
        <x:v>0</x:v>
      </x:c>
      <x:c r="L21" s="16" t="b">
        <x:v>0</x:v>
      </x:c>
      <x:c r="M21" s="16" t="b">
        <x:v>1</x:v>
      </x:c>
      <x:c r="N21" s="11" t="str">
        <x:v>Albuquerque Police Department</x:v>
      </x:c>
      <x:c r="O21" s="11" t="n">
        <x:v>35.0780365</x:v>
      </x:c>
      <x:c r="P21" s="11" t="n">
        <x:v>-106.5453162</x:v>
      </x:c>
    </x:row>
    <x:row r="22">
      <x:c r="A22" s="11" t="n">
        <x:v>3754</x:v>
      </x:c>
      <x:c r="B22" s="11" t="str">
        <x:v>2018-06-07</x:v>
      </x:c>
      <x:c r="C22" s="11" t="n">
        <x:v>2018</x:v>
      </x:c>
      <x:c r="D22" s="11" t="str">
        <x:v>Wes Allen</x:v>
      </x:c>
      <x:c r="E22" s="11" t="n">
        <x:v>33</x:v>
      </x:c>
      <x:c r="F22" s="11" t="str">
        <x:v>male</x:v>
      </x:c>
      <x:c r="G22" s="11" t="str">
        <x:v>White</x:v>
      </x:c>
      <x:c r="H22" s="11" t="str">
        <x:v>gun</x:v>
      </x:c>
      <x:c r="I22" s="11" t="str">
        <x:v>shoot</x:v>
      </x:c>
      <x:c r="J22" s="11" t="str">
        <x:v>car</x:v>
      </x:c>
      <x:c r="K22" s="16" t="b">
        <x:v>0</x:v>
      </x:c>
      <x:c r="L22" s="16" t="b">
        <x:v>0</x:v>
      </x:c>
      <x:c r="M22" s="16" t="b">
        <x:v>0</x:v>
      </x:c>
      <x:c r="N22" s="11" t="str">
        <x:v>U.S. Marshals Service</x:v>
      </x:c>
      <x:c r="O22" s="11" t="n">
        <x:v>35.069122</x:v>
      </x:c>
      <x:c r="P22" s="11" t="n">
        <x:v>-106.638414</x:v>
      </x:c>
    </x:row>
    <x:row r="23">
      <x:c r="A23" s="11" t="n">
        <x:v>3783</x:v>
      </x:c>
      <x:c r="B23" s="11" t="str">
        <x:v>2018-06-16</x:v>
      </x:c>
      <x:c r="C23" s="11" t="n">
        <x:v>2018</x:v>
      </x:c>
      <x:c r="D23" s="11" t="str">
        <x:v>Richard Rivera</x:v>
      </x:c>
      <x:c r="E23" s="11" t="n">
        <x:v>47</x:v>
      </x:c>
      <x:c r="F23" s="11" t="str">
        <x:v>male</x:v>
      </x:c>
      <x:c r="G23" s="11" t="str">
        <x:v>Hispanic</x:v>
      </x:c>
      <x:c r="H23" s="11" t="str">
        <x:v>unarmed</x:v>
      </x:c>
      <x:c r="I23" s="11" t="str">
        <x:v>missing</x:v>
      </x:c>
      <x:c r="J23" s="11" t="str">
        <x:v>car</x:v>
      </x:c>
      <x:c r="K23" s="16" t="b">
        <x:v>0</x:v>
      </x:c>
      <x:c r="L23" s="16" t="b">
        <x:v>0</x:v>
      </x:c>
      <x:c r="M23" s="16" t="b">
        <x:v>1</x:v>
      </x:c>
      <x:c r="N23" s="11" t="str">
        <x:v>Albuquerque Police Department</x:v>
      </x:c>
      <x:c r="O23" s="11" t="n">
        <x:v>35.0750602</x:v>
      </x:c>
      <x:c r="P23" s="11" t="n">
        <x:v>-106.6220968</x:v>
      </x:c>
    </x:row>
    <x:row r="24">
      <x:c r="A24" s="11" t="n">
        <x:v>3941</x:v>
      </x:c>
      <x:c r="B24" s="11" t="str">
        <x:v>2018-07-15</x:v>
      </x:c>
      <x:c r="C24" s="11" t="n">
        <x:v>2018</x:v>
      </x:c>
      <x:c r="D24" s="11" t="str">
        <x:v>Jonathan Molina</x:v>
      </x:c>
      <x:c r="E24" s="11" t="n">
        <x:v>23</x:v>
      </x:c>
      <x:c r="F24" s="11" t="str">
        <x:v>male</x:v>
      </x:c>
      <x:c r="G24" s="11" t="str">
        <x:v>Hispanic</x:v>
      </x:c>
      <x:c r="H24" s="11" t="str">
        <x:v>gun</x:v>
      </x:c>
      <x:c r="I24" s="11" t="str">
        <x:v>attack</x:v>
      </x:c>
      <x:c r="J24" s="11" t="str">
        <x:v>not_fleeing</x:v>
      </x:c>
      <x:c r="K24" s="16" t="b">
        <x:v>0</x:v>
      </x:c>
      <x:c r="L24" s="16" t="b">
        <x:v>0</x:v>
      </x:c>
      <x:c r="M24" s="16" t="b">
        <x:v>0</x:v>
      </x:c>
      <x:c r="N24" s="11" t="str">
        <x:v>New Mexico State Police</x:v>
      </x:c>
      <x:c r="O24" s="11" t="n">
        <x:v>35.0697377</x:v>
      </x:c>
      <x:c r="P24" s="11" t="n">
        <x:v>-106.6392485</x:v>
      </x:c>
    </x:row>
    <x:row r="25">
      <x:c r="A25" s="11" t="n">
        <x:v>3866</x:v>
      </x:c>
      <x:c r="B25" s="11" t="str">
        <x:v>2018-07-18</x:v>
      </x:c>
      <x:c r="C25" s="11" t="n">
        <x:v>2018</x:v>
      </x:c>
      <x:c r="D25" s="11" t="str">
        <x:v>Arthur Lujan</x:v>
      </x:c>
      <x:c r="E25" s="11" t="n">
        <x:v>30</x:v>
      </x:c>
      <x:c r="F25" s="11" t="str">
        <x:v>male</x:v>
      </x:c>
      <x:c r="G25" s="11" t="str">
        <x:v>Hispanic</x:v>
      </x:c>
      <x:c r="H25" s="11" t="str">
        <x:v>gun</x:v>
      </x:c>
      <x:c r="I25" s="11" t="str">
        <x:v>shoot</x:v>
      </x:c>
      <x:c r="J25" s="11" t="str">
        <x:v>not_fleeing</x:v>
      </x:c>
      <x:c r="K25" s="16" t="b">
        <x:v>0</x:v>
      </x:c>
      <x:c r="L25" s="16" t="b">
        <x:v>0</x:v>
      </x:c>
      <x:c r="M25" s="16" t="b">
        <x:v>1</x:v>
      </x:c>
      <x:c r="N25" s="11" t="str">
        <x:v>Albuquerque Police Department; New Mexico State Police</x:v>
      </x:c>
      <x:c r="O25" s="11" t="n">
        <x:v>35.13053</x:v>
      </x:c>
      <x:c r="P25" s="11" t="n">
        <x:v>-106.7160321</x:v>
      </x:c>
    </x:row>
    <x:row r="26">
      <x:c r="A26" s="11" t="n">
        <x:v>4154</x:v>
      </x:c>
      <x:c r="B26" s="11" t="str">
        <x:v>2018-11-04</x:v>
      </x:c>
      <x:c r="C26" s="11" t="n">
        <x:v>2018</x:v>
      </x:c>
      <x:c r="D26" s="11" t="str">
        <x:v>Anthony David Chavez</x:v>
      </x:c>
      <x:c r="E26" s="11" t="n">
        <x:v>18</x:v>
      </x:c>
      <x:c r="F26" s="11" t="str">
        <x:v>male</x:v>
      </x:c>
      <x:c r="G26" s="11" t="str">
        <x:v>Hispanic</x:v>
      </x:c>
      <x:c r="H26" s="11" t="str">
        <x:v>gun</x:v>
      </x:c>
      <x:c r="I26" s="11" t="str">
        <x:v>threat</x:v>
      </x:c>
      <x:c r="J26" s="11" t="str">
        <x:v>not_fleeing</x:v>
      </x:c>
      <x:c r="K26" s="16" t="b">
        <x:v>0</x:v>
      </x:c>
      <x:c r="L26" s="16" t="b">
        <x:v>0</x:v>
      </x:c>
      <x:c r="M26" s="16" t="b">
        <x:v>1</x:v>
      </x:c>
      <x:c r="N26" s="11" t="str">
        <x:v>Albuquerque Police Department</x:v>
      </x:c>
      <x:c r="O26" s="11" t="n">
        <x:v>35.0582642</x:v>
      </x:c>
      <x:c r="P26" s="11" t="n">
        <x:v>-106.5687495</x:v>
      </x:c>
    </x:row>
    <x:row r="27">
      <x:c r="A27" s="11" t="n">
        <x:v>4300</x:v>
      </x:c>
      <x:c r="B27" s="11" t="str">
        <x:v>2018-12-12</x:v>
      </x:c>
      <x:c r="C27" s="11" t="n">
        <x:v>2018</x:v>
      </x:c>
      <x:c r="D27" s="11" t="str">
        <x:v>Gabriel Romero</x:v>
      </x:c>
      <x:c r="E27" s="11" t="n">
        <x:v>19</x:v>
      </x:c>
      <x:c r="F27" s="11" t="str">
        <x:v>male</x:v>
      </x:c>
      <x:c r="G27" s="11" t="str">
        <x:v>Hispanic</x:v>
      </x:c>
      <x:c r="H27" s="11" t="str">
        <x:v>gun</x:v>
      </x:c>
      <x:c r="I27" s="11" t="str">
        <x:v>shoot</x:v>
      </x:c>
      <x:c r="J27" s="11" t="str">
        <x:v>foot</x:v>
      </x:c>
      <x:c r="K27" s="16" t="b">
        <x:v>1</x:v>
      </x:c>
      <x:c r="L27" s="16" t="b">
        <x:v>0</x:v>
      </x:c>
      <x:c r="M27" s="16" t="b">
        <x:v>1</x:v>
      </x:c>
      <x:c r="N27" s="11" t="str">
        <x:v>Albuquerque Police Department</x:v>
      </x:c>
      <x:c r="O27" s="11" t="n">
        <x:v>35.1232742</x:v>
      </x:c>
      <x:c r="P27" s="11" t="n">
        <x:v>-106.5865515</x:v>
      </x:c>
    </x:row>
    <x:row r="28">
      <x:c r="A28" s="11" t="n">
        <x:v>4326</x:v>
      </x:c>
      <x:c r="B28" s="11" t="str">
        <x:v>2018-12-23</x:v>
      </x:c>
      <x:c r="C28" s="11" t="n">
        <x:v>2018</x:v>
      </x:c>
      <x:c r="D28" s="11" t="str">
        <x:v>Jason Delgado Perez</x:v>
      </x:c>
      <x:c r="E28" s="11" t="n">
        <x:v>36</x:v>
      </x:c>
      <x:c r="F28" s="11" t="str">
        <x:v>male</x:v>
      </x:c>
      <x:c r="G28" s="11" t="str">
        <x:v>Hispanic</x:v>
      </x:c>
      <x:c r="H28" s="11" t="str">
        <x:v>gun</x:v>
      </x:c>
      <x:c r="I28" s="11" t="str">
        <x:v>shoot</x:v>
      </x:c>
      <x:c r="J28" s="11" t="str">
        <x:v>not_fleeing</x:v>
      </x:c>
      <x:c r="K28" s="16" t="b">
        <x:v>1</x:v>
      </x:c>
      <x:c r="L28" s="16" t="b">
        <x:v>0</x:v>
      </x:c>
      <x:c r="M28" s="16" t="b">
        <x:v>1</x:v>
      </x:c>
      <x:c r="N28" s="11" t="str">
        <x:v>Albuquerque Police Department</x:v>
      </x:c>
      <x:c r="O28" s="11" t="n">
        <x:v>35.0800687</x:v>
      </x:c>
      <x:c r="P28" s="11" t="n">
        <x:v>-106.5591354</x:v>
      </x:c>
    </x:row>
    <x:row r="29">
      <x:c r="A29" s="11" t="n">
        <x:v>4327</x:v>
      </x:c>
      <x:c r="B29" s="11" t="str">
        <x:v>2018-12-24</x:v>
      </x:c>
      <x:c r="C29" s="11" t="n">
        <x:v>2018</x:v>
      </x:c>
      <x:c r="D29" s="11" t="str">
        <x:v>Abdias Flores</x:v>
      </x:c>
      <x:c r="E29" s="11" t="n">
        <x:v>35</x:v>
      </x:c>
      <x:c r="F29" s="11" t="str">
        <x:v>male</x:v>
      </x:c>
      <x:c r="G29" s="11" t="str">
        <x:v>Hispanic</x:v>
      </x:c>
      <x:c r="H29" s="11" t="str">
        <x:v>gun</x:v>
      </x:c>
      <x:c r="I29" s="11" t="str">
        <x:v>shoot</x:v>
      </x:c>
      <x:c r="J29" s="11" t="str">
        <x:v>not_fleeing</x:v>
      </x:c>
      <x:c r="K29" s="16" t="b">
        <x:v>0</x:v>
      </x:c>
      <x:c r="L29" s="16" t="b">
        <x:v>0</x:v>
      </x:c>
      <x:c r="M29" s="16" t="b">
        <x:v>1</x:v>
      </x:c>
      <x:c r="N29" s="11" t="str">
        <x:v>Albuquerque Police Department</x:v>
      </x:c>
      <x:c r="O29" s="11" t="n">
        <x:v>35.106927</x:v>
      </x:c>
      <x:c r="P29" s="11" t="n">
        <x:v>-106.606178</x:v>
      </x:c>
    </x:row>
    <x:row r="30">
      <x:c r="A30" s="11" t="n">
        <x:v>4839</x:v>
      </x:c>
      <x:c r="B30" s="11" t="str">
        <x:v>2019-07-02</x:v>
      </x:c>
      <x:c r="C30" s="11" t="n">
        <x:v>2019</x:v>
      </x:c>
      <x:c r="D30" s="11" t="str">
        <x:v>Casiano Coronel</x:v>
      </x:c>
      <x:c r="E30" s="11" t="n">
        <x:v>21</x:v>
      </x:c>
      <x:c r="F30" s="11" t="str">
        <x:v>male</x:v>
      </x:c>
      <x:c r="G30" s="11" t="str">
        <x:v>Unknown</x:v>
      </x:c>
      <x:c r="H30" s="11" t="str">
        <x:v>gun</x:v>
      </x:c>
      <x:c r="I30" s="11" t="str">
        <x:v>shoot</x:v>
      </x:c>
      <x:c r="J30" s="11" t="str">
        <x:v>not_fleeing</x:v>
      </x:c>
      <x:c r="K30" s="16" t="b">
        <x:v>0</x:v>
      </x:c>
      <x:c r="L30" s="16" t="b">
        <x:v>0</x:v>
      </x:c>
      <x:c r="M30" s="16" t="b">
        <x:v>1</x:v>
      </x:c>
      <x:c r="N30" s="11" t="str">
        <x:v>Albuquerque Police Department</x:v>
      </x:c>
      <x:c r="O30" s="11" t="n">
        <x:v>35.0738245</x:v>
      </x:c>
      <x:c r="P30" s="11" t="n">
        <x:v>-106.5503127</x:v>
      </x:c>
    </x:row>
    <x:row r="31">
      <x:c r="A31" s="11" t="n">
        <x:v>4889</x:v>
      </x:c>
      <x:c r="B31" s="11" t="str">
        <x:v>2019-07-21</x:v>
      </x:c>
      <x:c r="C31" s="11" t="n">
        <x:v>2019</x:v>
      </x:c>
      <x:c r="D31" s="11" t="str">
        <x:v>Elisha Lucero</x:v>
      </x:c>
      <x:c r="E31" s="11" t="n">
        <x:v>28</x:v>
      </x:c>
      <x:c r="F31" s="11" t="str">
        <x:v>female</x:v>
      </x:c>
      <x:c r="G31" s="11" t="str">
        <x:v>Hispanic</x:v>
      </x:c>
      <x:c r="H31" s="11" t="str">
        <x:v>knife</x:v>
      </x:c>
      <x:c r="I31" s="11" t="str">
        <x:v>move</x:v>
      </x:c>
      <x:c r="J31" s="11" t="str">
        <x:v>not_fleeing</x:v>
      </x:c>
      <x:c r="K31" s="16" t="b">
        <x:v>1</x:v>
      </x:c>
      <x:c r="L31" s="16" t="b">
        <x:v>0</x:v>
      </x:c>
      <x:c r="M31" s="16" t="b">
        <x:v>0</x:v>
      </x:c>
      <x:c r="N31" s="11" t="str">
        <x:v>Bernalillo County Sheriff's Department</x:v>
      </x:c>
      <x:c r="O31" s="11" t="n">
        <x:v>35.0270934</x:v>
      </x:c>
      <x:c r="P31" s="11" t="n">
        <x:v>-106.6582166</x:v>
      </x:c>
    </x:row>
    <x:row r="32">
      <x:c r="A32" s="11" t="n">
        <x:v>4972</x:v>
      </x:c>
      <x:c r="B32" s="11" t="str">
        <x:v>2019-08-22</x:v>
      </x:c>
      <x:c r="C32" s="11" t="n">
        <x:v>2019</x:v>
      </x:c>
      <x:c r="D32" s="11" t="str">
        <x:v>Roger Schafer</x:v>
      </x:c>
      <x:c r="E32" s="11" t="n">
        <x:v>57</x:v>
      </x:c>
      <x:c r="F32" s="11" t="str">
        <x:v>male</x:v>
      </x:c>
      <x:c r="G32" s="11" t="str">
        <x:v>White</x:v>
      </x:c>
      <x:c r="H32" s="11" t="str">
        <x:v>replica</x:v>
      </x:c>
      <x:c r="I32" s="11" t="str">
        <x:v>point</x:v>
      </x:c>
      <x:c r="J32" s="11" t="str">
        <x:v>not_fleeing</x:v>
      </x:c>
      <x:c r="K32" s="16" t="b">
        <x:v>0</x:v>
      </x:c>
      <x:c r="L32" s="16" t="b">
        <x:v>0</x:v>
      </x:c>
      <x:c r="M32" s="16" t="b">
        <x:v>1</x:v>
      </x:c>
      <x:c r="N32" s="11" t="str">
        <x:v>Albuquerque Police Department</x:v>
      </x:c>
      <x:c r="O32" s="11" t="n">
        <x:v>35.0793991</x:v>
      </x:c>
      <x:c r="P32" s="11" t="n">
        <x:v>-106.5293862</x:v>
      </x:c>
    </x:row>
    <x:row r="33">
      <x:c r="A33" s="11" t="n">
        <x:v>5092</x:v>
      </x:c>
      <x:c r="B33" s="11" t="str">
        <x:v>2019-10-14</x:v>
      </x:c>
      <x:c r="C33" s="11" t="n">
        <x:v>2019</x:v>
      </x:c>
      <x:c r="D33" s="11" t="str">
        <x:v>Daniel James Wood Jr.</x:v>
      </x:c>
      <x:c r="E33" s="11" t="n">
        <x:v>29</x:v>
      </x:c>
      <x:c r="F33" s="11" t="str">
        <x:v>male</x:v>
      </x:c>
      <x:c r="G33" s="11" t="str">
        <x:v>Unknown</x:v>
      </x:c>
      <x:c r="H33" s="11" t="str">
        <x:v>gun</x:v>
      </x:c>
      <x:c r="I33" s="11" t="str">
        <x:v>point</x:v>
      </x:c>
      <x:c r="J33" s="11" t="str">
        <x:v>not_fleeing</x:v>
      </x:c>
      <x:c r="K33" s="16" t="b">
        <x:v>0</x:v>
      </x:c>
      <x:c r="L33" s="16" t="b">
        <x:v>0</x:v>
      </x:c>
      <x:c r="M33" s="16" t="b">
        <x:v>1</x:v>
      </x:c>
      <x:c r="N33" s="11" t="str">
        <x:v>Albuquerque Police Department</x:v>
      </x:c>
      <x:c r="O33" s="11" t="n">
        <x:v>35.0801986</x:v>
      </x:c>
      <x:c r="P33" s="11" t="n">
        <x:v>-106.5566807</x:v>
      </x:c>
    </x:row>
    <x:row r="34">
      <x:c r="A34" s="11" t="n">
        <x:v>5136</x:v>
      </x:c>
      <x:c r="B34" s="11" t="str">
        <x:v>2019-10-25</x:v>
      </x:c>
      <x:c r="C34" s="11" t="n">
        <x:v>2019</x:v>
      </x:c>
      <x:c r="D34" s="11" t="str">
        <x:v>Raymond V. Tahod</x:v>
      </x:c>
      <x:c r="E34" s="11" t="n">
        <x:v>27</x:v>
      </x:c>
      <x:c r="F34" s="11" t="str">
        <x:v>male</x:v>
      </x:c>
      <x:c r="G34" s="11" t="str">
        <x:v>Unknown</x:v>
      </x:c>
      <x:c r="H34" s="11" t="str">
        <x:v>gun</x:v>
      </x:c>
      <x:c r="I34" s="11" t="str">
        <x:v>threat</x:v>
      </x:c>
      <x:c r="J34" s="11" t="str">
        <x:v>car</x:v>
      </x:c>
      <x:c r="K34" s="16" t="b">
        <x:v>0</x:v>
      </x:c>
      <x:c r="L34" s="16" t="b">
        <x:v>0</x:v>
      </x:c>
      <x:c r="M34" s="16" t="b">
        <x:v>1</x:v>
      </x:c>
      <x:c r="N34" s="11" t="str">
        <x:v>Albuquerque Police Department</x:v>
      </x:c>
      <x:c r="O34" s="11" t="n">
        <x:v>35.1091797</x:v>
      </x:c>
      <x:c r="P34" s="11" t="n">
        <x:v>-106.604248</x:v>
      </x:c>
    </x:row>
    <x:row r="35">
      <x:c r="A35" s="11" t="n">
        <x:v>5354</x:v>
      </x:c>
      <x:c r="B35" s="11" t="str">
        <x:v>2020-01-06</x:v>
      </x:c>
      <x:c r="C35" s="11" t="n">
        <x:v>2020</x:v>
      </x:c>
      <x:c r="D35" s="11" t="str">
        <x:v>Orlando Abeyta</x:v>
      </x:c>
      <x:c r="E35" s="11" t="n">
        <x:v>28</x:v>
      </x:c>
      <x:c r="F35" s="11" t="str">
        <x:v>male</x:v>
      </x:c>
      <x:c r="G35" s="11" t="str">
        <x:v>Hispanic</x:v>
      </x:c>
      <x:c r="H35" s="11" t="str">
        <x:v>gun</x:v>
      </x:c>
      <x:c r="I35" s="11" t="str">
        <x:v>move</x:v>
      </x:c>
      <x:c r="J35" s="11" t="str">
        <x:v>not_fleeing</x:v>
      </x:c>
      <x:c r="K35" s="16" t="b">
        <x:v>0</x:v>
      </x:c>
      <x:c r="L35" s="16" t="b">
        <x:v>0</x:v>
      </x:c>
      <x:c r="M35" s="16" t="b">
        <x:v>1</x:v>
      </x:c>
      <x:c r="N35" s="11" t="str">
        <x:v>Albuquerque Police Department</x:v>
      </x:c>
      <x:c r="O35" s="11" t="n">
        <x:v>35.0754518</x:v>
      </x:c>
      <x:c r="P35" s="11" t="n">
        <x:v>-106.5652647</x:v>
      </x:c>
    </x:row>
    <x:row r="36">
      <x:c r="A36" s="11" t="n">
        <x:v>5701</x:v>
      </x:c>
      <x:c r="B36" s="11" t="str">
        <x:v>2020-03-31</x:v>
      </x:c>
      <x:c r="C36" s="11" t="n">
        <x:v>2020</x:v>
      </x:c>
      <x:c r="D36" s="11" t="str">
        <x:v>Valente Acosta-Bustillos</x:v>
      </x:c>
      <x:c r="E36" s="11" t="n">
        <x:v>52</x:v>
      </x:c>
      <x:c r="F36" s="11" t="str">
        <x:v>male</x:v>
      </x:c>
      <x:c r="G36" s="11" t="str">
        <x:v>Hispanic</x:v>
      </x:c>
      <x:c r="H36" s="11" t="str">
        <x:v>blunt_object</x:v>
      </x:c>
      <x:c r="I36" s="11" t="str">
        <x:v>threat</x:v>
      </x:c>
      <x:c r="J36" s="11" t="str">
        <x:v>not_fleeing</x:v>
      </x:c>
      <x:c r="K36" s="16" t="b">
        <x:v>1</x:v>
      </x:c>
      <x:c r="L36" s="16" t="b">
        <x:v>0</x:v>
      </x:c>
      <x:c r="M36" s="16" t="b">
        <x:v>1</x:v>
      </x:c>
      <x:c r="N36" s="11" t="str">
        <x:v>Albuquerque Police Department</x:v>
      </x:c>
      <x:c r="O36" s="11" t="n">
        <x:v>35.0746008</x:v>
      </x:c>
      <x:c r="P36" s="11" t="n">
        <x:v>-106.6432443</x:v>
      </x:c>
    </x:row>
    <x:row r="37">
      <x:c r="A37" s="11" t="n">
        <x:v>6060</x:v>
      </x:c>
      <x:c r="B37" s="11" t="str">
        <x:v>2020-08-10</x:v>
      </x:c>
      <x:c r="C37" s="11" t="n">
        <x:v>2020</x:v>
      </x:c>
      <x:c r="D37" s="11" t="str">
        <x:v>Jose Vallejos</x:v>
      </x:c>
      <x:c r="E37" s="11" t="n">
        <x:v>48</x:v>
      </x:c>
      <x:c r="F37" s="11" t="str">
        <x:v>male</x:v>
      </x:c>
      <x:c r="G37" s="11" t="str">
        <x:v>Hispanic</x:v>
      </x:c>
      <x:c r="H37" s="11" t="str">
        <x:v>gun</x:v>
      </x:c>
      <x:c r="I37" s="11" t="str">
        <x:v>point</x:v>
      </x:c>
      <x:c r="J37" s="11" t="str">
        <x:v>missing</x:v>
      </x:c>
      <x:c r="K37" s="16" t="b">
        <x:v>0</x:v>
      </x:c>
      <x:c r="L37" s="16" t="b">
        <x:v>0</x:v>
      </x:c>
      <x:c r="M37" s="16" t="b">
        <x:v>1</x:v>
      </x:c>
      <x:c r="N37" s="11" t="str">
        <x:v>Albuquerque Police Department</x:v>
      </x:c>
      <x:c r="O37" s="11" t="n">
        <x:v>35.1590705</x:v>
      </x:c>
      <x:c r="P37" s="11" t="n">
        <x:v>-106.692226</x:v>
      </x:c>
    </x:row>
    <x:row r="38">
      <x:c r="A38" s="11" t="n">
        <x:v>6062</x:v>
      </x:c>
      <x:c r="B38" s="11" t="str">
        <x:v>2020-08-10</x:v>
      </x:c>
      <x:c r="C38" s="11" t="n">
        <x:v>2020</x:v>
      </x:c>
      <x:c r="D38" s="11" t="str">
        <x:v>Kenneth Reiss</x:v>
      </x:c>
      <x:c r="E38" s="11" t="n">
        <x:v>50</x:v>
      </x:c>
      <x:c r="F38" s="11" t="str">
        <x:v>male</x:v>
      </x:c>
      <x:c r="G38" s="11" t="str">
        <x:v>White</x:v>
      </x:c>
      <x:c r="H38" s="11" t="str">
        <x:v>gun</x:v>
      </x:c>
      <x:c r="I38" s="11" t="str">
        <x:v>shoot</x:v>
      </x:c>
      <x:c r="J38" s="11" t="str">
        <x:v>foot</x:v>
      </x:c>
      <x:c r="K38" s="16" t="b">
        <x:v>0</x:v>
      </x:c>
      <x:c r="L38" s="16" t="b">
        <x:v>0</x:v>
      </x:c>
      <x:c r="M38" s="16" t="b">
        <x:v>1</x:v>
      </x:c>
      <x:c r="N38" s="11" t="str">
        <x:v>Albuquerque Police Department</x:v>
      </x:c>
      <x:c r="O38" s="11" t="n">
        <x:v>35.073659</x:v>
      </x:c>
      <x:c r="P38" s="11" t="n">
        <x:v>-106.6145679</x:v>
      </x:c>
    </x:row>
    <x:row r="39">
      <x:c r="A39" s="11" t="n">
        <x:v>6109</x:v>
      </x:c>
      <x:c r="B39" s="11" t="str">
        <x:v>2020-08-24</x:v>
      </x:c>
      <x:c r="C39" s="11" t="n">
        <x:v>2020</x:v>
      </x:c>
      <x:c r="D39" s="11" t="str">
        <x:v>David Sanchez</x:v>
      </x:c>
      <x:c r="E39" s="11" t="str"/>
      <x:c r="F39" s="11" t="str">
        <x:v>male</x:v>
      </x:c>
      <x:c r="G39" s="11" t="str">
        <x:v>Hispanic</x:v>
      </x:c>
      <x:c r="H39" s="11" t="str">
        <x:v>gun</x:v>
      </x:c>
      <x:c r="I39" s="11" t="str">
        <x:v>shoot</x:v>
      </x:c>
      <x:c r="J39" s="11" t="str">
        <x:v>missing</x:v>
      </x:c>
      <x:c r="K39" s="16" t="b">
        <x:v>0</x:v>
      </x:c>
      <x:c r="L39" s="16" t="b">
        <x:v>0</x:v>
      </x:c>
      <x:c r="M39" s="16" t="b">
        <x:v>0</x:v>
      </x:c>
      <x:c r="N39" s="11" t="str">
        <x:v>Bernalillo County Sheriff's Department</x:v>
      </x:c>
      <x:c r="O39" s="11" t="n">
        <x:v>35.1845</x:v>
      </x:c>
      <x:c r="P39" s="11" t="n">
        <x:v>-106.5704343</x:v>
      </x:c>
    </x:row>
    <x:row r="40">
      <x:c r="A40" s="11" t="n">
        <x:v>6366</x:v>
      </x:c>
      <x:c r="B40" s="11" t="str">
        <x:v>2020-10-12</x:v>
      </x:c>
      <x:c r="C40" s="11" t="n">
        <x:v>2020</x:v>
      </x:c>
      <x:c r="D40" s="11" t="str">
        <x:v>Matthew Montoya</x:v>
      </x:c>
      <x:c r="E40" s="11" t="n">
        <x:v>52</x:v>
      </x:c>
      <x:c r="F40" s="11" t="str">
        <x:v>male</x:v>
      </x:c>
      <x:c r="G40" s="11" t="str">
        <x:v>Hispanic</x:v>
      </x:c>
      <x:c r="H40" s="11" t="str">
        <x:v>gun</x:v>
      </x:c>
      <x:c r="I40" s="11" t="str">
        <x:v>threat</x:v>
      </x:c>
      <x:c r="J40" s="11" t="str">
        <x:v>not_fleeing</x:v>
      </x:c>
      <x:c r="K40" s="16" t="b">
        <x:v>0</x:v>
      </x:c>
      <x:c r="L40" s="16" t="b">
        <x:v>0</x:v>
      </x:c>
      <x:c r="M40" s="16" t="b">
        <x:v>1</x:v>
      </x:c>
      <x:c r="N40" s="11" t="str">
        <x:v>Albuquerque Police Department</x:v>
      </x:c>
      <x:c r="O40" s="11" t="n">
        <x:v>35.0918743</x:v>
      </x:c>
      <x:c r="P40" s="11" t="n">
        <x:v>-106.5770471</x:v>
      </x:c>
    </x:row>
    <x:row r="41">
      <x:c r="A41" s="11" t="n">
        <x:v>6558</x:v>
      </x:c>
      <x:c r="B41" s="11" t="str">
        <x:v>2021-01-31</x:v>
      </x:c>
      <x:c r="C41" s="11" t="n">
        <x:v>2021</x:v>
      </x:c>
      <x:c r="D41" s="11" t="str">
        <x:v>Ezekiel Meza</x:v>
      </x:c>
      <x:c r="E41" s="11" t="n">
        <x:v>41</x:v>
      </x:c>
      <x:c r="F41" s="11" t="str">
        <x:v>male</x:v>
      </x:c>
      <x:c r="G41" s="11" t="str">
        <x:v>Hispanic</x:v>
      </x:c>
      <x:c r="H41" s="11" t="str">
        <x:v>gun</x:v>
      </x:c>
      <x:c r="I41" s="11" t="str">
        <x:v>shoot</x:v>
      </x:c>
      <x:c r="J41" s="11" t="str">
        <x:v>foot</x:v>
      </x:c>
      <x:c r="K41" s="16" t="b">
        <x:v>0</x:v>
      </x:c>
      <x:c r="L41" s="16" t="b">
        <x:v>1</x:v>
      </x:c>
      <x:c r="M41" s="16" t="b">
        <x:v>0</x:v>
      </x:c>
      <x:c r="N41" s="11" t="str">
        <x:v>Bernalillo County Sheriff's Department</x:v>
      </x:c>
      <x:c r="O41" s="11" t="n">
        <x:v>35.0661986</x:v>
      </x:c>
      <x:c r="P41" s="11" t="n">
        <x:v>-106.691803</x:v>
      </x:c>
    </x:row>
    <x:row r="42">
      <x:c r="A42" s="11" t="n">
        <x:v>6623</x:v>
      </x:c>
      <x:c r="B42" s="11" t="str">
        <x:v>2021-02-20</x:v>
      </x:c>
      <x:c r="C42" s="11" t="n">
        <x:v>2021</x:v>
      </x:c>
      <x:c r="D42" s="11" t="str">
        <x:v>Claude Trivino</x:v>
      </x:c>
      <x:c r="E42" s="11" t="n">
        <x:v>40</x:v>
      </x:c>
      <x:c r="F42" s="11" t="str">
        <x:v>male</x:v>
      </x:c>
      <x:c r="G42" s="11" t="str">
        <x:v>Hispanic</x:v>
      </x:c>
      <x:c r="H42" s="11" t="str">
        <x:v>knife</x:v>
      </x:c>
      <x:c r="I42" s="11" t="str">
        <x:v>attack</x:v>
      </x:c>
      <x:c r="J42" s="11" t="str">
        <x:v>foot</x:v>
      </x:c>
      <x:c r="K42" s="16" t="b">
        <x:v>1</x:v>
      </x:c>
      <x:c r="L42" s="16" t="b">
        <x:v>1</x:v>
      </x:c>
      <x:c r="M42" s="16" t="b">
        <x:v>1</x:v>
      </x:c>
      <x:c r="N42" s="11" t="str">
        <x:v>Albuquerque Police Department</x:v>
      </x:c>
      <x:c r="O42" s="11" t="n">
        <x:v>35.0807376</x:v>
      </x:c>
      <x:c r="P42" s="11" t="n">
        <x:v>-106.5861027</x:v>
      </x:c>
    </x:row>
    <x:row r="43">
      <x:c r="A43" s="11" t="n">
        <x:v>7392</x:v>
      </x:c>
      <x:c r="B43" s="11" t="str">
        <x:v>2021-07-14</x:v>
      </x:c>
      <x:c r="C43" s="11" t="n">
        <x:v>2021</x:v>
      </x:c>
      <x:c r="D43" s="11" t="str">
        <x:v>Marquez Floyd</x:v>
      </x:c>
      <x:c r="E43" s="11" t="n">
        <x:v>31</x:v>
      </x:c>
      <x:c r="F43" s="11" t="str">
        <x:v>male</x:v>
      </x:c>
      <x:c r="G43" s="11" t="str">
        <x:v>Black</x:v>
      </x:c>
      <x:c r="H43" s="11" t="str">
        <x:v>gun</x:v>
      </x:c>
      <x:c r="I43" s="11" t="str">
        <x:v>shoot</x:v>
      </x:c>
      <x:c r="J43" s="11" t="str">
        <x:v>not_fleeing</x:v>
      </x:c>
      <x:c r="K43" s="16" t="b">
        <x:v>0</x:v>
      </x:c>
      <x:c r="L43" s="16" t="b">
        <x:v>0</x:v>
      </x:c>
      <x:c r="M43" s="16" t="b">
        <x:v>0</x:v>
      </x:c>
      <x:c r="N43" s="11" t="str">
        <x:v>Federal Bureau of Investigation</x:v>
      </x:c>
      <x:c r="O43" s="11" t="str"/>
      <x:c r="P43" s="11" t="str"/>
    </x:row>
    <x:row r="44">
      <x:c r="A44" s="11" t="n">
        <x:v>7095</x:v>
      </x:c>
      <x:c r="B44" s="11" t="str">
        <x:v>2021-08-15</x:v>
      </x:c>
      <x:c r="C44" s="11" t="n">
        <x:v>2021</x:v>
      </x:c>
      <x:c r="D44" s="11" t="str">
        <x:v>Eric Padilla</x:v>
      </x:c>
      <x:c r="E44" s="11" t="n">
        <x:v>33</x:v>
      </x:c>
      <x:c r="F44" s="11" t="str">
        <x:v>male</x:v>
      </x:c>
      <x:c r="G44" s="11" t="str">
        <x:v>Hispanic</x:v>
      </x:c>
      <x:c r="H44" s="11" t="str">
        <x:v>gun</x:v>
      </x:c>
      <x:c r="I44" s="11" t="str">
        <x:v>point</x:v>
      </x:c>
      <x:c r="J44" s="11" t="str">
        <x:v>foot</x:v>
      </x:c>
      <x:c r="K44" s="16" t="b">
        <x:v>0</x:v>
      </x:c>
      <x:c r="L44" s="16" t="b">
        <x:v>1</x:v>
      </x:c>
      <x:c r="M44" s="16" t="b">
        <x:v>1</x:v>
      </x:c>
      <x:c r="N44" s="11" t="str">
        <x:v>Albuquerque Police Department</x:v>
      </x:c>
      <x:c r="O44" s="11" t="n">
        <x:v>35.1052481</x:v>
      </x:c>
      <x:c r="P44" s="11" t="n">
        <x:v>-106.5502924</x:v>
      </x:c>
    </x:row>
    <x:row r="45">
      <x:c r="A45" s="11" t="n">
        <x:v>7376</x:v>
      </x:c>
      <x:c r="B45" s="11" t="str">
        <x:v>2021-11-26</x:v>
      </x:c>
      <x:c r="C45" s="11" t="n">
        <x:v>2021</x:v>
      </x:c>
      <x:c r="D45" s="11" t="str">
        <x:v>Elijah Jacob Riche</x:v>
      </x:c>
      <x:c r="E45" s="11" t="n">
        <x:v>18</x:v>
      </x:c>
      <x:c r="F45" s="11" t="str">
        <x:v>male</x:v>
      </x:c>
      <x:c r="G45" s="11" t="str">
        <x:v>White; Hispanic</x:v>
      </x:c>
      <x:c r="H45" s="11" t="str">
        <x:v>gun</x:v>
      </x:c>
      <x:c r="I45" s="11" t="str">
        <x:v>threat</x:v>
      </x:c>
      <x:c r="J45" s="11" t="str">
        <x:v>missing</x:v>
      </x:c>
      <x:c r="K45" s="16" t="b">
        <x:v>0</x:v>
      </x:c>
      <x:c r="L45" s="16" t="b">
        <x:v>1</x:v>
      </x:c>
      <x:c r="M45" s="16" t="b">
        <x:v>0</x:v>
      </x:c>
      <x:c r="N45" s="11" t="str">
        <x:v>Bernalillo County Sheriff's Department</x:v>
      </x:c>
      <x:c r="O45" s="11" t="n">
        <x:v>35.1326283469605</x:v>
      </x:c>
      <x:c r="P45" s="11" t="n">
        <x:v>-106.6298974783428</x:v>
      </x:c>
    </x:row>
    <x:row r="46">
      <x:c r="A46" s="11" t="n">
        <x:v>7479</x:v>
      </x:c>
      <x:c r="B46" s="11" t="str">
        <x:v>2021-12-07</x:v>
      </x:c>
      <x:c r="C46" s="11" t="n">
        <x:v>2021</x:v>
      </x:c>
      <x:c r="D46" s="11" t="str">
        <x:v>Mario Armando Diaz</x:v>
      </x:c>
      <x:c r="E46" s="11" t="n">
        <x:v>41</x:v>
      </x:c>
      <x:c r="F46" s="11" t="str">
        <x:v>male</x:v>
      </x:c>
      <x:c r="G46" s="11" t="str">
        <x:v>Hispanic</x:v>
      </x:c>
      <x:c r="H46" s="11" t="str">
        <x:v>unarmed</x:v>
      </x:c>
      <x:c r="I46" s="11" t="str">
        <x:v>attack</x:v>
      </x:c>
      <x:c r="J46" s="11" t="str">
        <x:v>foot</x:v>
      </x:c>
      <x:c r="K46" s="16" t="b">
        <x:v>0</x:v>
      </x:c>
      <x:c r="L46" s="16" t="b">
        <x:v>0</x:v>
      </x:c>
      <x:c r="M46" s="16" t="b">
        <x:v>0</x:v>
      </x:c>
      <x:c r="N46" s="11" t="str">
        <x:v>Bernalillo County Sheriff's Department</x:v>
      </x:c>
      <x:c r="O46" s="11" t="str"/>
      <x:c r="P46" s="11" t="str"/>
    </x:row>
    <x:row r="47">
      <x:c r="A47" s="11" t="n">
        <x:v>7705</x:v>
      </x:c>
      <x:c r="B47" s="11" t="str">
        <x:v>2022-02-01</x:v>
      </x:c>
      <x:c r="C47" s="11" t="n">
        <x:v>2022</x:v>
      </x:c>
      <x:c r="D47" s="11" t="str">
        <x:v>Devin Morris</x:v>
      </x:c>
      <x:c r="E47" s="11" t="n">
        <x:v>31</x:v>
      </x:c>
      <x:c r="F47" s="11" t="str">
        <x:v>male</x:v>
      </x:c>
      <x:c r="G47" s="11" t="str">
        <x:v>White</x:v>
      </x:c>
      <x:c r="H47" s="11" t="str">
        <x:v>gun</x:v>
      </x:c>
      <x:c r="I47" s="11" t="str">
        <x:v>flee</x:v>
      </x:c>
      <x:c r="J47" s="11" t="str">
        <x:v>foot</x:v>
      </x:c>
      <x:c r="K47" s="16" t="b">
        <x:v>0</x:v>
      </x:c>
      <x:c r="L47" s="16" t="b">
        <x:v>0</x:v>
      </x:c>
      <x:c r="M47" s="16" t="b">
        <x:v>1</x:v>
      </x:c>
      <x:c r="N47" s="11" t="str">
        <x:v>Albuquerque Police Department</x:v>
      </x:c>
      <x:c r="O47" s="11" t="str"/>
      <x:c r="P47" s="11" t="str"/>
    </x:row>
    <x:row r="48">
      <x:c r="A48" s="11" t="n">
        <x:v>7787</x:v>
      </x:c>
      <x:c r="B48" s="11" t="str">
        <x:v>2022-03-14</x:v>
      </x:c>
      <x:c r="C48" s="11" t="n">
        <x:v>2022</x:v>
      </x:c>
      <x:c r="D48" s="11" t="str">
        <x:v>John Dawson Hunter</x:v>
      </x:c>
      <x:c r="E48" s="11" t="n">
        <x:v>52</x:v>
      </x:c>
      <x:c r="F48" s="11" t="str">
        <x:v>male</x:v>
      </x:c>
      <x:c r="G48" s="11" t="str">
        <x:v>White</x:v>
      </x:c>
      <x:c r="H48" s="11" t="str">
        <x:v>gun</x:v>
      </x:c>
      <x:c r="I48" s="11" t="str">
        <x:v>shoot</x:v>
      </x:c>
      <x:c r="J48" s="11" t="str">
        <x:v>missing</x:v>
      </x:c>
      <x:c r="K48" s="16" t="b">
        <x:v>1</x:v>
      </x:c>
      <x:c r="L48" s="16" t="b">
        <x:v>0</x:v>
      </x:c>
      <x:c r="M48" s="16" t="b">
        <x:v>1</x:v>
      </x:c>
      <x:c r="N48" s="11" t="str">
        <x:v>Albuquerque Police Department</x:v>
      </x:c>
      <x:c r="O48" s="11" t="n">
        <x:v>35.130773076546525</x:v>
      </x:c>
      <x:c r="P48" s="11" t="n">
        <x:v>-106.49282963642378</x:v>
      </x:c>
    </x:row>
    <x:row r="49">
      <x:c r="A49" s="11" t="n">
        <x:v>7851</x:v>
      </x:c>
      <x:c r="B49" s="11" t="str">
        <x:v>2022-03-19</x:v>
      </x:c>
      <x:c r="C49" s="11" t="n">
        <x:v>2022</x:v>
      </x:c>
      <x:c r="D49" s="11" t="str">
        <x:v>Collin Neztsosie</x:v>
      </x:c>
      <x:c r="E49" s="11" t="n">
        <x:v>33</x:v>
      </x:c>
      <x:c r="F49" s="11" t="str">
        <x:v>male</x:v>
      </x:c>
      <x:c r="G49" s="11" t="str">
        <x:v>Native American</x:v>
      </x:c>
      <x:c r="H49" s="11" t="str">
        <x:v>unarmed</x:v>
      </x:c>
      <x:c r="I49" s="11" t="str">
        <x:v>move</x:v>
      </x:c>
      <x:c r="J49" s="11" t="str">
        <x:v>not_fleeing</x:v>
      </x:c>
      <x:c r="K49" s="16" t="b">
        <x:v>0</x:v>
      </x:c>
      <x:c r="L49" s="16" t="b">
        <x:v>0</x:v>
      </x:c>
      <x:c r="M49" s="16" t="b">
        <x:v>1</x:v>
      </x:c>
      <x:c r="N49" s="11" t="str">
        <x:v>Albuquerque Police Department</x:v>
      </x:c>
      <x:c r="O49" s="11" t="n">
        <x:v>35.0681039</x:v>
      </x:c>
      <x:c r="P49" s="11" t="n">
        <x:v>-106.4977328</x:v>
      </x:c>
    </x:row>
    <x:row r="50">
      <x:c r="A50" s="11" t="n">
        <x:v>7928</x:v>
      </x:c>
      <x:c r="B50" s="11" t="str">
        <x:v>2022-04-01</x:v>
      </x:c>
      <x:c r="C50" s="11" t="n">
        <x:v>2022</x:v>
      </x:c>
      <x:c r="D50" s="11" t="str">
        <x:v>Taylor John Crabb</x:v>
      </x:c>
      <x:c r="E50" s="11" t="n">
        <x:v>37</x:v>
      </x:c>
      <x:c r="F50" s="11" t="str">
        <x:v>male</x:v>
      </x:c>
      <x:c r="G50" s="11" t="str">
        <x:v>White</x:v>
      </x:c>
      <x:c r="H50" s="11" t="str">
        <x:v>gun;vehicle</x:v>
      </x:c>
      <x:c r="I50" s="11" t="str">
        <x:v>shoot</x:v>
      </x:c>
      <x:c r="J50" s="11" t="str">
        <x:v>car</x:v>
      </x:c>
      <x:c r="K50" s="16" t="b">
        <x:v>0</x:v>
      </x:c>
      <x:c r="L50" s="16" t="b">
        <x:v>0</x:v>
      </x:c>
      <x:c r="M50" s="16" t="b">
        <x:v>0</x:v>
      </x:c>
      <x:c r="N50" s="11" t="str">
        <x:v>Bernalillo County Sheriff's Department</x:v>
      </x:c>
      <x:c r="O50" s="11" t="n">
        <x:v>35.0511881</x:v>
      </x:c>
      <x:c r="P50" s="11" t="n">
        <x:v>-106.6702788</x:v>
      </x:c>
    </x:row>
    <x:row r="51">
      <x:c r="A51" s="11" t="n">
        <x:v>7970</x:v>
      </x:c>
      <x:c r="B51" s="11" t="str">
        <x:v>2022-04-06</x:v>
      </x:c>
      <x:c r="C51" s="11" t="n">
        <x:v>2022</x:v>
      </x:c>
      <x:c r="D51" s="11" t="str">
        <x:v>John A. Withers</x:v>
      </x:c>
      <x:c r="E51" s="11" t="n">
        <x:v>20</x:v>
      </x:c>
      <x:c r="F51" s="11" t="str">
        <x:v>male</x:v>
      </x:c>
      <x:c r="G51" s="11" t="str">
        <x:v>Unknown</x:v>
      </x:c>
      <x:c r="H51" s="11" t="str">
        <x:v>gun</x:v>
      </x:c>
      <x:c r="I51" s="11" t="str">
        <x:v>shoot</x:v>
      </x:c>
      <x:c r="J51" s="11" t="str">
        <x:v>foot</x:v>
      </x:c>
      <x:c r="K51" s="16" t="b">
        <x:v>0</x:v>
      </x:c>
      <x:c r="L51" s="16" t="b">
        <x:v>1</x:v>
      </x:c>
      <x:c r="M51" s="16" t="b">
        <x:v>1</x:v>
      </x:c>
      <x:c r="N51" s="11" t="str">
        <x:v>Albuquerque Police Department</x:v>
      </x:c>
      <x:c r="O51" s="11" t="n">
        <x:v>35.1388696</x:v>
      </x:c>
      <x:c r="P51" s="11" t="n">
        <x:v>-106.5334574</x:v>
      </x:c>
    </x:row>
    <x:row r="52">
      <x:c r="A52" s="11" t="n">
        <x:v>8154</x:v>
      </x:c>
      <x:c r="B52" s="11" t="str">
        <x:v>2022-06-19</x:v>
      </x:c>
      <x:c r="C52" s="11" t="n">
        <x:v>2022</x:v>
      </x:c>
      <x:c r="D52" s="11" t="str">
        <x:v>Frank Baty</x:v>
      </x:c>
      <x:c r="E52" s="11" t="n">
        <x:v>58</x:v>
      </x:c>
      <x:c r="F52" s="11" t="str">
        <x:v>male</x:v>
      </x:c>
      <x:c r="G52" s="11" t="str">
        <x:v>Black</x:v>
      </x:c>
      <x:c r="H52" s="11" t="str">
        <x:v>replica</x:v>
      </x:c>
      <x:c r="I52" s="11" t="str">
        <x:v>threat</x:v>
      </x:c>
      <x:c r="J52" s="11" t="str">
        <x:v>not_fleeing</x:v>
      </x:c>
      <x:c r="K52" s="16" t="b">
        <x:v>1</x:v>
      </x:c>
      <x:c r="L52" s="16" t="b">
        <x:v>0</x:v>
      </x:c>
      <x:c r="M52" s="16" t="b">
        <x:v>1</x:v>
      </x:c>
      <x:c r="N52" s="11" t="str">
        <x:v>Albuquerque Police Department</x:v>
      </x:c>
      <x:c r="O52" s="11" t="n">
        <x:v>35.0849929</x:v>
      </x:c>
      <x:c r="P52" s="11" t="n">
        <x:v>-106.6493478</x:v>
      </x:c>
    </x:row>
    <x:row r="53">
      <x:c r="A53" s="11" t="n">
        <x:v>8189</x:v>
      </x:c>
      <x:c r="B53" s="11" t="str">
        <x:v>2022-06-27</x:v>
      </x:c>
      <x:c r="C53" s="11" t="n">
        <x:v>2022</x:v>
      </x:c>
      <x:c r="D53" s="11" t="str"/>
      <x:c r="E53" s="11" t="str"/>
      <x:c r="F53" s="11" t="str">
        <x:v>male</x:v>
      </x:c>
      <x:c r="G53" s="11" t="str">
        <x:v>Unknown</x:v>
      </x:c>
      <x:c r="H53" s="11" t="str">
        <x:v>gun</x:v>
      </x:c>
      <x:c r="I53" s="11" t="str">
        <x:v>threat</x:v>
      </x:c>
      <x:c r="J53" s="11" t="str">
        <x:v>missing</x:v>
      </x:c>
      <x:c r="K53" s="16" t="b">
        <x:v>0</x:v>
      </x:c>
      <x:c r="L53" s="16" t="b">
        <x:v>0</x:v>
      </x:c>
      <x:c r="M53" s="16" t="b">
        <x:v>0</x:v>
      </x:c>
      <x:c r="N53" s="11" t="str">
        <x:v>U.S. Marshals Service</x:v>
      </x:c>
      <x:c r="O53" s="11" t="str"/>
      <x:c r="P53" s="11" t="str"/>
    </x:row>
    <x:row r="54">
      <x:c r="A54" s="11" t="n">
        <x:v>8277</x:v>
      </x:c>
      <x:c r="B54" s="11" t="str">
        <x:v>2022-07-21</x:v>
      </x:c>
      <x:c r="C54" s="11" t="n">
        <x:v>2022</x:v>
      </x:c>
      <x:c r="D54" s="11" t="str">
        <x:v>Wendel Tagle</x:v>
      </x:c>
      <x:c r="E54" s="11" t="n">
        <x:v>43</x:v>
      </x:c>
      <x:c r="F54" s="11" t="str">
        <x:v>male</x:v>
      </x:c>
      <x:c r="G54" s="11" t="str">
        <x:v>Asian heritage</x:v>
      </x:c>
      <x:c r="H54" s="11" t="str">
        <x:v>gun</x:v>
      </x:c>
      <x:c r="I54" s="11" t="str">
        <x:v>shoot</x:v>
      </x:c>
      <x:c r="J54" s="11" t="str">
        <x:v>missing</x:v>
      </x:c>
      <x:c r="K54" s="16" t="b">
        <x:v>1</x:v>
      </x:c>
      <x:c r="L54" s="16" t="b">
        <x:v>0</x:v>
      </x:c>
      <x:c r="M54" s="16" t="b">
        <x:v>1</x:v>
      </x:c>
      <x:c r="N54" s="11" t="str">
        <x:v>Albuquerque Police Department</x:v>
      </x:c>
      <x:c r="O54" s="11" t="str"/>
      <x:c r="P54" s="11" t="str"/>
    </x:row>
    <x:row r="55">
      <x:c r="A55" s="11" t="n">
        <x:v>8366</x:v>
      </x:c>
      <x:c r="B55" s="11" t="str">
        <x:v>2022-08-28</x:v>
      </x:c>
      <x:c r="C55" s="11" t="n">
        <x:v>2022</x:v>
      </x:c>
      <x:c r="D55" s="11" t="str">
        <x:v>Keshawn Thomas</x:v>
      </x:c>
      <x:c r="E55" s="11" t="n">
        <x:v>27</x:v>
      </x:c>
      <x:c r="F55" s="11" t="str">
        <x:v>male</x:v>
      </x:c>
      <x:c r="G55" s="11" t="str">
        <x:v>Black; Hispanic</x:v>
      </x:c>
      <x:c r="H55" s="11" t="str">
        <x:v>gun</x:v>
      </x:c>
      <x:c r="I55" s="11" t="str">
        <x:v>point</x:v>
      </x:c>
      <x:c r="J55" s="11" t="str">
        <x:v>missing</x:v>
      </x:c>
      <x:c r="K55" s="16" t="b">
        <x:v>0</x:v>
      </x:c>
      <x:c r="L55" s="16" t="b">
        <x:v>0</x:v>
      </x:c>
      <x:c r="M55" s="16" t="b">
        <x:v>1</x:v>
      </x:c>
      <x:c r="N55" s="11" t="str">
        <x:v>Albuquerque Police Department</x:v>
      </x:c>
      <x:c r="O55" s="11" t="n">
        <x:v>35.1149857</x:v>
      </x:c>
      <x:c r="P55" s="11" t="n">
        <x:v>-106.7022261</x:v>
      </x:c>
    </x:row>
    <x:row r="56">
      <x:c r="A56" s="11" t="n">
        <x:v>8570</x:v>
      </x:c>
      <x:c r="B56" s="11" t="str">
        <x:v>2022-11-05</x:v>
      </x:c>
      <x:c r="C56" s="11" t="n">
        <x:v>2022</x:v>
      </x:c>
      <x:c r="D56" s="11" t="str">
        <x:v>Julian Sanchez</x:v>
      </x:c>
      <x:c r="E56" s="11" t="n">
        <x:v>21</x:v>
      </x:c>
      <x:c r="F56" s="11" t="str">
        <x:v>male</x:v>
      </x:c>
      <x:c r="G56" s="11" t="str">
        <x:v>Hispanic</x:v>
      </x:c>
      <x:c r="H56" s="11" t="str">
        <x:v>gun</x:v>
      </x:c>
      <x:c r="I56" s="11" t="str">
        <x:v>threat</x:v>
      </x:c>
      <x:c r="J56" s="11" t="str">
        <x:v>not_fleeing</x:v>
      </x:c>
      <x:c r="K56" s="16" t="b">
        <x:v>0</x:v>
      </x:c>
      <x:c r="L56" s="16" t="b">
        <x:v>0</x:v>
      </x:c>
      <x:c r="M56" s="16" t="b">
        <x:v>1</x:v>
      </x:c>
      <x:c r="N56" s="11" t="str">
        <x:v>Albuquerque Police Department</x:v>
      </x:c>
      <x:c r="O56" s="11" t="n">
        <x:v>35.0902369</x:v>
      </x:c>
      <x:c r="P56" s="11" t="n">
        <x:v>-106.4979257</x:v>
      </x:c>
    </x:row>
    <x:row r="57">
      <x:c r="A57" s="11" t="n">
        <x:v>8581</x:v>
      </x:c>
      <x:c r="B57" s="11" t="str">
        <x:v>2022-11-10</x:v>
      </x:c>
      <x:c r="C57" s="11" t="n">
        <x:v>2022</x:v>
      </x:c>
      <x:c r="D57" s="11" t="str">
        <x:v>Jesus Crosby</x:v>
      </x:c>
      <x:c r="E57" s="11" t="n">
        <x:v>41</x:v>
      </x:c>
      <x:c r="F57" s="11" t="str">
        <x:v>male</x:v>
      </x:c>
      <x:c r="G57" s="11" t="str">
        <x:v>Hispanic</x:v>
      </x:c>
      <x:c r="H57" s="11" t="str">
        <x:v>knife</x:v>
      </x:c>
      <x:c r="I57" s="11" t="str">
        <x:v>threat</x:v>
      </x:c>
      <x:c r="J57" s="11" t="str">
        <x:v>foot</x:v>
      </x:c>
      <x:c r="K57" s="16" t="b">
        <x:v>0</x:v>
      </x:c>
      <x:c r="L57" s="16" t="b">
        <x:v>0</x:v>
      </x:c>
      <x:c r="M57" s="16" t="b">
        <x:v>1</x:v>
      </x:c>
      <x:c r="N57" s="11" t="str">
        <x:v>Albuquerque Police Department</x:v>
      </x:c>
      <x:c r="O57" s="11" t="n">
        <x:v>35.0888703</x:v>
      </x:c>
      <x:c r="P57" s="11" t="n">
        <x:v>-106.6513538</x:v>
      </x:c>
    </x:row>
    <x:row r="58">
      <x:c r="A58" s="11" t="n">
        <x:v>8629</x:v>
      </x:c>
      <x:c r="B58" s="11" t="str">
        <x:v>2022-11-16</x:v>
      </x:c>
      <x:c r="C58" s="11" t="n">
        <x:v>2022</x:v>
      </x:c>
      <x:c r="D58" s="11" t="str"/>
      <x:c r="E58" s="11" t="str"/>
      <x:c r="F58" s="11" t="str">
        <x:v>missing</x:v>
      </x:c>
      <x:c r="G58" s="11" t="str">
        <x:v>Unknown</x:v>
      </x:c>
      <x:c r="H58" s="11" t="str">
        <x:v>knife</x:v>
      </x:c>
      <x:c r="I58" s="11" t="str">
        <x:v>move</x:v>
      </x:c>
      <x:c r="J58" s="11" t="str">
        <x:v>car</x:v>
      </x:c>
      <x:c r="K58" s="16" t="b">
        <x:v>0</x:v>
      </x:c>
      <x:c r="L58" s="16" t="b">
        <x:v>0</x:v>
      </x:c>
      <x:c r="M58" s="16" t="b">
        <x:v>0</x:v>
      </x:c>
      <x:c r="N58" s="11" t="str">
        <x:v>New Mexico State Police</x:v>
      </x:c>
      <x:c r="O58" s="11" t="n">
        <x:v>35.1295504</x:v>
      </x:c>
      <x:c r="P58" s="11" t="n">
        <x:v>-106.5672494</x:v>
      </x:c>
    </x:row>
    <x:row r="59">
      <x:c r="A59" s="11" t="n">
        <x:v>8740</x:v>
      </x:c>
      <x:c r="B59" s="11" t="str">
        <x:v>2022-11-17</x:v>
      </x:c>
      <x:c r="C59" s="11" t="n">
        <x:v>2022</x:v>
      </x:c>
      <x:c r="D59" s="11" t="str">
        <x:v>Roberto Armijo</x:v>
      </x:c>
      <x:c r="E59" s="11" t="n">
        <x:v>34</x:v>
      </x:c>
      <x:c r="F59" s="11" t="str">
        <x:v>male</x:v>
      </x:c>
      <x:c r="G59" s="11" t="str">
        <x:v>Hispanic</x:v>
      </x:c>
      <x:c r="H59" s="11" t="str">
        <x:v>knife</x:v>
      </x:c>
      <x:c r="I59" s="11" t="str">
        <x:v>threat</x:v>
      </x:c>
      <x:c r="J59" s="11" t="str">
        <x:v>car</x:v>
      </x:c>
      <x:c r="K59" s="16" t="b">
        <x:v>1</x:v>
      </x:c>
      <x:c r="L59" s="16" t="b">
        <x:v>1</x:v>
      </x:c>
      <x:c r="M59" s="16" t="b">
        <x:v>0</x:v>
      </x:c>
      <x:c r="N59" s="11" t="str">
        <x:v>New Mexico State Police</x:v>
      </x:c>
      <x:c r="O59" s="11" t="n">
        <x:v>35.13075697780115</x:v>
      </x:c>
      <x:c r="P59" s="11" t="n">
        <x:v>-106.56852356431258</x:v>
      </x:c>
    </x:row>
    <x:row r="60">
      <x:c r="A60" s="11" t="n">
        <x:v>8671</x:v>
      </x:c>
      <x:c r="B60" s="11" t="str">
        <x:v>2022-11-25</x:v>
      </x:c>
      <x:c r="C60" s="11" t="n">
        <x:v>2022</x:v>
      </x:c>
      <x:c r="D60" s="11" t="str">
        <x:v>Blaine Denetdele</x:v>
      </x:c>
      <x:c r="E60" s="11" t="n">
        <x:v>30</x:v>
      </x:c>
      <x:c r="F60" s="11" t="str">
        <x:v>male</x:v>
      </x:c>
      <x:c r="G60" s="11" t="str">
        <x:v>Native American</x:v>
      </x:c>
      <x:c r="H60" s="11" t="str">
        <x:v>knife</x:v>
      </x:c>
      <x:c r="I60" s="11" t="str">
        <x:v>threat</x:v>
      </x:c>
      <x:c r="J60" s="11" t="str">
        <x:v>not_fleeing</x:v>
      </x:c>
      <x:c r="K60" s="16" t="b">
        <x:v>1</x:v>
      </x:c>
      <x:c r="L60" s="16" t="b">
        <x:v>0</x:v>
      </x:c>
      <x:c r="M60" s="16" t="b">
        <x:v>1</x:v>
      </x:c>
      <x:c r="N60" s="11" t="str">
        <x:v>Albuquerque Police Department</x:v>
      </x:c>
      <x:c r="O60" s="11" t="n">
        <x:v>35.0419954</x:v>
      </x:c>
      <x:c r="P60" s="11" t="n">
        <x:v>-106.7495187</x:v>
      </x:c>
    </x:row>
    <x:row r="61">
      <x:c r="A61" s="11" t="n">
        <x:v>9126</x:v>
      </x:c>
      <x:c r="B61" s="11" t="str">
        <x:v>2023-04-16</x:v>
      </x:c>
      <x:c r="C61" s="11" t="n">
        <x:v>2023</x:v>
      </x:c>
      <x:c r="D61" s="11" t="str">
        <x:v>Jared Romero</x:v>
      </x:c>
      <x:c r="E61" s="11" t="n">
        <x:v>35</x:v>
      </x:c>
      <x:c r="F61" s="11" t="str">
        <x:v>male</x:v>
      </x:c>
      <x:c r="G61" s="11" t="str">
        <x:v>Unknown</x:v>
      </x:c>
      <x:c r="H61" s="11" t="str">
        <x:v>knife</x:v>
      </x:c>
      <x:c r="I61" s="11" t="str">
        <x:v>threat</x:v>
      </x:c>
      <x:c r="J61" s="11" t="str">
        <x:v>not_fleeing</x:v>
      </x:c>
      <x:c r="K61" s="16" t="b">
        <x:v>1</x:v>
      </x:c>
      <x:c r="L61" s="16" t="b">
        <x:v>1</x:v>
      </x:c>
      <x:c r="M61" s="16" t="b">
        <x:v>0</x:v>
      </x:c>
      <x:c r="N61" s="11" t="str">
        <x:v>Bernalillo County Sheriff's Department</x:v>
      </x:c>
      <x:c r="O61" s="11" t="n">
        <x:v>34.99641244483638</x:v>
      </x:c>
      <x:c r="P61" s="11" t="n">
        <x:v>-106.70512220773048</x:v>
      </x:c>
    </x:row>
    <x:row r="62">
      <x:c r="A62" s="11" t="n">
        <x:v>9705</x:v>
      </x:c>
      <x:c r="B62" s="11" t="str">
        <x:v>2023-05-19</x:v>
      </x:c>
      <x:c r="C62" s="11" t="n">
        <x:v>2023</x:v>
      </x:c>
      <x:c r="D62" s="11" t="str">
        <x:v>David Gaylor</x:v>
      </x:c>
      <x:c r="E62" s="11" t="n">
        <x:v>42</x:v>
      </x:c>
      <x:c r="F62" s="11" t="str">
        <x:v>male</x:v>
      </x:c>
      <x:c r="G62" s="11" t="str">
        <x:v>White</x:v>
      </x:c>
      <x:c r="H62" s="11" t="str">
        <x:v>knife</x:v>
      </x:c>
      <x:c r="I62" s="11" t="str">
        <x:v>attack</x:v>
      </x:c>
      <x:c r="J62" s="11" t="str">
        <x:v>not_fleeing</x:v>
      </x:c>
      <x:c r="K62" s="16" t="b">
        <x:v>1</x:v>
      </x:c>
      <x:c r="L62" s="16" t="b">
        <x:v>0</x:v>
      </x:c>
      <x:c r="M62" s="16" t="b">
        <x:v>1</x:v>
      </x:c>
      <x:c r="N62" s="11" t="str">
        <x:v>Albuquerque Police Department</x:v>
      </x:c>
      <x:c r="O62" s="11" t="n">
        <x:v>35.09103133562253</x:v>
      </x:c>
      <x:c r="P62" s="11" t="n">
        <x:v>-106.67901858898308</x:v>
      </x:c>
    </x:row>
    <x:row r="63">
      <x:c r="A63" s="11" t="n">
        <x:v>9669</x:v>
      </x:c>
      <x:c r="B63" s="11" t="str">
        <x:v>2023-06-24</x:v>
      </x:c>
      <x:c r="C63" s="11" t="n">
        <x:v>2023</x:v>
      </x:c>
      <x:c r="D63" s="11" t="str">
        <x:v>Mark Edward Peter</x:v>
      </x:c>
      <x:c r="E63" s="11" t="n">
        <x:v>41</x:v>
      </x:c>
      <x:c r="F63" s="11" t="str">
        <x:v>male</x:v>
      </x:c>
      <x:c r="G63" s="11" t="str">
        <x:v>White</x:v>
      </x:c>
      <x:c r="H63" s="11" t="str">
        <x:v>gun</x:v>
      </x:c>
      <x:c r="I63" s="11" t="str">
        <x:v>shoot</x:v>
      </x:c>
      <x:c r="J63" s="11" t="str">
        <x:v>not_fleeing</x:v>
      </x:c>
      <x:c r="K63" s="16" t="b">
        <x:v>0</x:v>
      </x:c>
      <x:c r="L63" s="16" t="b">
        <x:v>0</x:v>
      </x:c>
      <x:c r="M63" s="16" t="b">
        <x:v>1</x:v>
      </x:c>
      <x:c r="N63" s="11" t="str">
        <x:v>Albuquerque Police Department</x:v>
      </x:c>
      <x:c r="O63" s="11" t="n">
        <x:v>35.073194047912324</x:v>
      </x:c>
      <x:c r="P63" s="11" t="n">
        <x:v>-106.74258083163888</x:v>
      </x:c>
    </x:row>
    <x:row r="64">
      <x:c r="A64" s="11" t="n">
        <x:v>9327</x:v>
      </x:c>
      <x:c r="B64" s="11" t="str">
        <x:v>2023-06-29</x:v>
      </x:c>
      <x:c r="C64" s="11" t="n">
        <x:v>2023</x:v>
      </x:c>
      <x:c r="D64" s="11" t="str">
        <x:v>Jeramiah Salyards</x:v>
      </x:c>
      <x:c r="E64" s="11" t="n">
        <x:v>25</x:v>
      </x:c>
      <x:c r="F64" s="11" t="str">
        <x:v>male</x:v>
      </x:c>
      <x:c r="G64" s="11" t="str">
        <x:v>White; Hispanic</x:v>
      </x:c>
      <x:c r="H64" s="11" t="str">
        <x:v>knife</x:v>
      </x:c>
      <x:c r="I64" s="11" t="str">
        <x:v>threat</x:v>
      </x:c>
      <x:c r="J64" s="11" t="str">
        <x:v>not_fleeing</x:v>
      </x:c>
      <x:c r="K64" s="16" t="b">
        <x:v>0</x:v>
      </x:c>
      <x:c r="L64" s="16" t="b">
        <x:v>0</x:v>
      </x:c>
      <x:c r="M64" s="16" t="b">
        <x:v>1</x:v>
      </x:c>
      <x:c r="N64" s="11" t="str">
        <x:v>Albuquerque Police Department</x:v>
      </x:c>
      <x:c r="O64" s="11" t="n">
        <x:v>35.087113470684244</x:v>
      </x:c>
      <x:c r="P64" s="11" t="n">
        <x:v>-106.56882640982276</x:v>
      </x:c>
    </x:row>
    <x:row r="65">
      <x:c r="A65" s="11" t="n">
        <x:v>9652</x:v>
      </x:c>
      <x:c r="B65" s="11" t="str">
        <x:v>2023-07-20</x:v>
      </x:c>
      <x:c r="C65" s="11" t="n">
        <x:v>2023</x:v>
      </x:c>
      <x:c r="D65" s="11" t="str">
        <x:v>Emmanuel Galaviz Campos</x:v>
      </x:c>
      <x:c r="E65" s="11" t="n">
        <x:v>20</x:v>
      </x:c>
      <x:c r="F65" s="11" t="str">
        <x:v>male</x:v>
      </x:c>
      <x:c r="G65" s="11" t="str">
        <x:v>Hispanic</x:v>
      </x:c>
      <x:c r="H65" s="11" t="str">
        <x:v>gun</x:v>
      </x:c>
      <x:c r="I65" s="11" t="str">
        <x:v>shoot</x:v>
      </x:c>
      <x:c r="J65" s="11" t="str">
        <x:v>not_fleeing</x:v>
      </x:c>
      <x:c r="K65" s="16" t="b">
        <x:v>0</x:v>
      </x:c>
      <x:c r="L65" s="16" t="b">
        <x:v>1</x:v>
      </x:c>
      <x:c r="M65" s="16" t="b">
        <x:v>1</x:v>
      </x:c>
      <x:c r="N65" s="11" t="str">
        <x:v>Albuquerque Police Department; New Mexico State Police</x:v>
      </x:c>
      <x:c r="O65" s="11" t="n">
        <x:v>35.07695859203948</x:v>
      </x:c>
      <x:c r="P65" s="11" t="n">
        <x:v>-106.49732328983052</x:v>
      </x:c>
    </x:row>
    <x:row r="66">
      <x:c r="A66" s="11" t="n">
        <x:v>9468</x:v>
      </x:c>
      <x:c r="B66" s="11" t="str">
        <x:v>2023-08-08</x:v>
      </x:c>
      <x:c r="C66" s="11" t="n">
        <x:v>2023</x:v>
      </x:c>
      <x:c r="D66" s="11" t="str">
        <x:v>Ahmad Nassar</x:v>
      </x:c>
      <x:c r="E66" s="11" t="n">
        <x:v>32</x:v>
      </x:c>
      <x:c r="F66" s="11" t="str">
        <x:v>male</x:v>
      </x:c>
      <x:c r="G66" s="11" t="str">
        <x:v>Other</x:v>
      </x:c>
      <x:c r="H66" s="11" t="str">
        <x:v>undetermined</x:v>
      </x:c>
      <x:c r="I66" s="11" t="str">
        <x:v>missing</x:v>
      </x:c>
      <x:c r="J66" s="11" t="str">
        <x:v>missing</x:v>
      </x:c>
      <x:c r="K66" s="16" t="b">
        <x:v>1</x:v>
      </x:c>
      <x:c r="L66" s="16" t="b">
        <x:v>0</x:v>
      </x:c>
      <x:c r="M66" s="16" t="b">
        <x:v>0</x:v>
      </x:c>
      <x:c r="N66" s="11" t="str">
        <x:v>Federal Bureau of Investigation</x:v>
      </x:c>
      <x:c r="O66" s="11" t="n">
        <x:v>35.090170274712115</x:v>
      </x:c>
      <x:c r="P66" s="11" t="n">
        <x:v>-106.5062503587118</x:v>
      </x:c>
    </x:row>
    <x:row r="67">
      <x:c r="A67" s="11" t="n">
        <x:v>9857</x:v>
      </x:c>
      <x:c r="B67" s="11" t="str">
        <x:v>2023-11-12</x:v>
      </x:c>
      <x:c r="C67" s="11" t="n">
        <x:v>2023</x:v>
      </x:c>
      <x:c r="D67" s="11" t="str">
        <x:v>Joseph Ramos</x:v>
      </x:c>
      <x:c r="E67" s="11" t="str"/>
      <x:c r="F67" s="11" t="str">
        <x:v>male</x:v>
      </x:c>
      <x:c r="G67" s="11" t="str">
        <x:v>Unknown</x:v>
      </x:c>
      <x:c r="H67" s="11" t="str">
        <x:v>undetermined</x:v>
      </x:c>
      <x:c r="I67" s="11" t="str">
        <x:v>missing</x:v>
      </x:c>
      <x:c r="J67" s="11" t="str">
        <x:v>car</x:v>
      </x:c>
      <x:c r="K67" s="16" t="b">
        <x:v>0</x:v>
      </x:c>
      <x:c r="L67" s="16" t="b">
        <x:v>0</x:v>
      </x:c>
      <x:c r="M67" s="16" t="b">
        <x:v>0</x:v>
      </x:c>
      <x:c r="N67" s="11" t="str">
        <x:v>Bernalillo County Sheriff's Department</x:v>
      </x:c>
      <x:c r="O67" s="11" t="n">
        <x:v>35.15616662955824</x:v>
      </x:c>
      <x:c r="P67" s="11" t="n">
        <x:v>-106.63780088686626</x:v>
      </x:c>
    </x:row>
    <x:row r="68">
      <x:c r="A68" s="11" t="n">
        <x:v>9892</x:v>
      </x:c>
      <x:c r="B68" s="11" t="str">
        <x:v>2023-11-25</x:v>
      </x:c>
      <x:c r="C68" s="11" t="n">
        <x:v>2023</x:v>
      </x:c>
      <x:c r="D68" s="11" t="str">
        <x:v>Pete Martinez</x:v>
      </x:c>
      <x:c r="E68" s="11" t="n">
        <x:v>36</x:v>
      </x:c>
      <x:c r="F68" s="11" t="str">
        <x:v>male</x:v>
      </x:c>
      <x:c r="G68" s="11" t="str">
        <x:v>Unknown</x:v>
      </x:c>
      <x:c r="H68" s="11" t="str">
        <x:v>gun</x:v>
      </x:c>
      <x:c r="I68" s="11" t="str">
        <x:v>threat</x:v>
      </x:c>
      <x:c r="J68" s="11" t="str">
        <x:v>foot</x:v>
      </x:c>
      <x:c r="K68" s="16" t="b">
        <x:v>0</x:v>
      </x:c>
      <x:c r="L68" s="16" t="b">
        <x:v>0</x:v>
      </x:c>
      <x:c r="M68" s="16" t="b">
        <x:v>1</x:v>
      </x:c>
      <x:c r="N68" s="11" t="str">
        <x:v>Albuquerque Police Department</x:v>
      </x:c>
      <x:c r="O68" s="11" t="n">
        <x:v>35.14079720239818</x:v>
      </x:c>
      <x:c r="P68" s="11" t="n">
        <x:v>-106.59986637301697</x:v>
      </x:c>
    </x:row>
    <x:row r="69">
      <x:c r="A69" s="11" t="n">
        <x:v>9966</x:v>
      </x:c>
      <x:c r="B69" s="11" t="str">
        <x:v>2023-12-07</x:v>
      </x:c>
      <x:c r="C69" s="11" t="n">
        <x:v>2023</x:v>
      </x:c>
      <x:c r="D69" s="11" t="str">
        <x:v>Mark Carlson</x:v>
      </x:c>
      <x:c r="E69" s="11" t="n">
        <x:v>32</x:v>
      </x:c>
      <x:c r="F69" s="11" t="str">
        <x:v>male</x:v>
      </x:c>
      <x:c r="G69" s="11" t="str">
        <x:v>White</x:v>
      </x:c>
      <x:c r="H69" s="11" t="str">
        <x:v>gun</x:v>
      </x:c>
      <x:c r="I69" s="11" t="str">
        <x:v>threat</x:v>
      </x:c>
      <x:c r="J69" s="11" t="str">
        <x:v>foot</x:v>
      </x:c>
      <x:c r="K69" s="16" t="b">
        <x:v>0</x:v>
      </x:c>
      <x:c r="L69" s="16" t="b">
        <x:v>0</x:v>
      </x:c>
      <x:c r="M69" s="16" t="b">
        <x:v>1</x:v>
      </x:c>
      <x:c r="N69" s="11" t="str">
        <x:v>Albuquerque Police Department</x:v>
      </x:c>
      <x:c r="O69" s="11" t="n">
        <x:v>35.13099364123745</x:v>
      </x:c>
      <x:c r="P69" s="11" t="n">
        <x:v>-106.59996706467528</x:v>
      </x:c>
    </x:row>
    <x:row r="70">
      <x:c r="A70" s="11" t="n">
        <x:v>10084</x:v>
      </x:c>
      <x:c r="B70" s="11" t="str">
        <x:v>2024-01-25</x:v>
      </x:c>
      <x:c r="C70" s="11" t="n">
        <x:v>2024</x:v>
      </x:c>
      <x:c r="D70" s="11" t="str">
        <x:v>Joseph Dominic Baca</x:v>
      </x:c>
      <x:c r="E70" s="11" t="n">
        <x:v>38</x:v>
      </x:c>
      <x:c r="F70" s="11" t="str">
        <x:v>male</x:v>
      </x:c>
      <x:c r="G70" s="11" t="str">
        <x:v>Hispanic</x:v>
      </x:c>
      <x:c r="H70" s="11" t="str">
        <x:v>gun</x:v>
      </x:c>
      <x:c r="I70" s="11" t="str">
        <x:v>point</x:v>
      </x:c>
      <x:c r="J70" s="11" t="str">
        <x:v>not_fleeing</x:v>
      </x:c>
      <x:c r="K70" s="16" t="b">
        <x:v>0</x:v>
      </x:c>
      <x:c r="L70" s="16" t="b">
        <x:v>0</x:v>
      </x:c>
      <x:c r="M70" s="16" t="b">
        <x:v>1</x:v>
      </x:c>
      <x:c r="N70" s="11" t="str">
        <x:v>Albuquerque Police Department</x:v>
      </x:c>
      <x:c r="O70" s="11" t="n">
        <x:v>35.10710297920408</x:v>
      </x:c>
      <x:c r="P70" s="11" t="n">
        <x:v>-106.64989601323173</x:v>
      </x:c>
    </x:row>
    <x:row r="71">
      <x:c r="A71" s="11" t="n">
        <x:v>10217</x:v>
      </x:c>
      <x:c r="B71" s="11" t="str">
        <x:v>2024-03-08</x:v>
      </x:c>
      <x:c r="C71" s="11" t="n">
        <x:v>2024</x:v>
      </x:c>
      <x:c r="D71" s="11" t="str">
        <x:v>Francisco Hernandez</x:v>
      </x:c>
      <x:c r="E71" s="11" t="n">
        <x:v>35</x:v>
      </x:c>
      <x:c r="F71" s="11" t="str">
        <x:v>male</x:v>
      </x:c>
      <x:c r="G71" s="11" t="str">
        <x:v>Hispanic</x:v>
      </x:c>
      <x:c r="H71" s="11" t="str">
        <x:v>gun</x:v>
      </x:c>
      <x:c r="I71" s="11" t="str">
        <x:v>point</x:v>
      </x:c>
      <x:c r="J71" s="11" t="str">
        <x:v>foot</x:v>
      </x:c>
      <x:c r="K71" s="16" t="b">
        <x:v>0</x:v>
      </x:c>
      <x:c r="L71" s="16" t="b">
        <x:v>0</x:v>
      </x:c>
      <x:c r="M71" s="16" t="b">
        <x:v>0</x:v>
      </x:c>
      <x:c r="N71" s="11" t="str">
        <x:v>New Mexico State Police</x:v>
      </x:c>
      <x:c r="O71" s="11" t="n">
        <x:v>35.151723883658136</x:v>
      </x:c>
      <x:c r="P71" s="11" t="n">
        <x:v>-106.5098231027226</x:v>
      </x:c>
    </x:row>
    <x:row r="72">
      <x:c r="A72" s="11" t="n">
        <x:v>10262</x:v>
      </x:c>
      <x:c r="B72" s="11" t="str">
        <x:v>2024-03-19</x:v>
      </x:c>
      <x:c r="C72" s="11" t="n">
        <x:v>2024</x:v>
      </x:c>
      <x:c r="D72" s="11" t="str">
        <x:v>Mariah Voigt</x:v>
      </x:c>
      <x:c r="E72" s="11" t="n">
        <x:v>33</x:v>
      </x:c>
      <x:c r="F72" s="11" t="str">
        <x:v>female</x:v>
      </x:c>
      <x:c r="G72" s="11" t="str">
        <x:v>Hispanic</x:v>
      </x:c>
      <x:c r="H72" s="11" t="str">
        <x:v>unarmed</x:v>
      </x:c>
      <x:c r="I72" s="11" t="str">
        <x:v>move</x:v>
      </x:c>
      <x:c r="J72" s="11" t="str">
        <x:v>foot</x:v>
      </x:c>
      <x:c r="K72" s="16" t="b">
        <x:v>0</x:v>
      </x:c>
      <x:c r="L72" s="16" t="b">
        <x:v>0</x:v>
      </x:c>
      <x:c r="M72" s="16" t="b">
        <x:v>1</x:v>
      </x:c>
      <x:c r="N72" s="11" t="str">
        <x:v>Albuquerque Police Department</x:v>
      </x:c>
      <x:c r="O72" s="11" t="n">
        <x:v>35.11617634405111</x:v>
      </x:c>
      <x:c r="P72" s="11" t="n">
        <x:v>-106.53323300091591</x:v>
      </x:c>
    </x:row>
    <x:row r="73">
      <x:c r="A73" s="11" t="n">
        <x:v>10348</x:v>
      </x:c>
      <x:c r="B73" s="11" t="str">
        <x:v>2024-04-11</x:v>
      </x:c>
      <x:c r="C73" s="11" t="n">
        <x:v>2024</x:v>
      </x:c>
      <x:c r="D73" s="11" t="str">
        <x:v>Mark Christian Benavidez Jr.</x:v>
      </x:c>
      <x:c r="E73" s="11" t="n">
        <x:v>30</x:v>
      </x:c>
      <x:c r="F73" s="11" t="str">
        <x:v>male</x:v>
      </x:c>
      <x:c r="G73" s="11" t="str">
        <x:v>Hispanic</x:v>
      </x:c>
      <x:c r="H73" s="11" t="str">
        <x:v>gun</x:v>
      </x:c>
      <x:c r="I73" s="11" t="str">
        <x:v>shoot</x:v>
      </x:c>
      <x:c r="J73" s="11" t="str">
        <x:v>not_fleeing</x:v>
      </x:c>
      <x:c r="K73" s="16" t="b">
        <x:v>0</x:v>
      </x:c>
      <x:c r="L73" s="16" t="b">
        <x:v>0</x:v>
      </x:c>
      <x:c r="M73" s="16" t="b">
        <x:v>1</x:v>
      </x:c>
      <x:c r="N73" s="11" t="str">
        <x:v>Albuquerque Police Department</x:v>
      </x:c>
      <x:c r="O73" s="11" t="n">
        <x:v>35.10636694806515</x:v>
      </x:c>
      <x:c r="P73" s="11" t="n">
        <x:v>-106.5507963702192</x:v>
      </x:c>
    </x:row>
    <x:row r="74">
      <x:c r="A74" s="11" t="n">
        <x:v>10599</x:v>
      </x:c>
      <x:c r="B74" s="11" t="str">
        <x:v>2024-06-20</x:v>
      </x:c>
      <x:c r="C74" s="11" t="n">
        <x:v>2024</x:v>
      </x:c>
      <x:c r="D74" s="11" t="str">
        <x:v>Dale Meador</x:v>
      </x:c>
      <x:c r="E74" s="11" t="n">
        <x:v>42</x:v>
      </x:c>
      <x:c r="F74" s="11" t="str">
        <x:v>male</x:v>
      </x:c>
      <x:c r="G74" s="11" t="str">
        <x:v>Unknown</x:v>
      </x:c>
      <x:c r="H74" s="11" t="str">
        <x:v>replica</x:v>
      </x:c>
      <x:c r="I74" s="11" t="str">
        <x:v>threat</x:v>
      </x:c>
      <x:c r="J74" s="11" t="str">
        <x:v>car</x:v>
      </x:c>
      <x:c r="K74" s="16" t="b">
        <x:v>0</x:v>
      </x:c>
      <x:c r="L74" s="16" t="b">
        <x:v>0</x:v>
      </x:c>
      <x:c r="M74" s="16" t="b">
        <x:v>1</x:v>
      </x:c>
      <x:c r="N74" s="11" t="str">
        <x:v>Albuquerque Police Department</x:v>
      </x:c>
      <x:c r="O74" s="11" t="n">
        <x:v>35.10655951323042</x:v>
      </x:c>
      <x:c r="P74" s="11" t="n">
        <x:v>-106.70444074135315</x:v>
      </x:c>
    </x:row>
    <x:row r="75">
      <x:c r="A75" s="11" t="n">
        <x:v>10851</x:v>
      </x:c>
      <x:c r="B75" s="11" t="str">
        <x:v>2024-08-17</x:v>
      </x:c>
      <x:c r="C75" s="11" t="n">
        <x:v>2024</x:v>
      </x:c>
      <x:c r="D75" s="11" t="str">
        <x:v>Derek Darnell Pickett</x:v>
      </x:c>
      <x:c r="E75" s="11" t="n">
        <x:v>44</x:v>
      </x:c>
      <x:c r="F75" s="11" t="str">
        <x:v>male</x:v>
      </x:c>
      <x:c r="G75" s="11" t="str">
        <x:v>Black</x:v>
      </x:c>
      <x:c r="H75" s="11" t="str">
        <x:v>gun</x:v>
      </x:c>
      <x:c r="I75" s="11" t="str">
        <x:v>threat</x:v>
      </x:c>
      <x:c r="J75" s="11" t="str">
        <x:v>foot</x:v>
      </x:c>
      <x:c r="K75" s="16" t="b">
        <x:v>0</x:v>
      </x:c>
      <x:c r="L75" s="16" t="b">
        <x:v>0</x:v>
      </x:c>
      <x:c r="M75" s="16" t="b">
        <x:v>1</x:v>
      </x:c>
      <x:c r="N75" s="11" t="str">
        <x:v>Albuquerque Police Department</x:v>
      </x:c>
      <x:c r="O75" s="11" t="n">
        <x:v>35.080497146010394</x:v>
      </x:c>
      <x:c r="P75" s="11" t="n">
        <x:v>-106.64388940009702</x:v>
      </x:c>
    </x:row>
    <x:row r="76">
      <x:c r="A76" s="11" t="n">
        <x:v>11040</x:v>
      </x:c>
      <x:c r="B76" s="11" t="str">
        <x:v>2024-10-13</x:v>
      </x:c>
      <x:c r="C76" s="11" t="n">
        <x:v>2024</x:v>
      </x:c>
      <x:c r="D76" s="11" t="str">
        <x:v>Matthew Sanchez</x:v>
      </x:c>
      <x:c r="E76" s="11" t="n">
        <x:v>41</x:v>
      </x:c>
      <x:c r="F76" s="11" t="str">
        <x:v>male</x:v>
      </x:c>
      <x:c r="G76" s="11" t="str">
        <x:v>Hispanic</x:v>
      </x:c>
      <x:c r="H76" s="11" t="str">
        <x:v>gun</x:v>
      </x:c>
      <x:c r="I76" s="11" t="str">
        <x:v>threat</x:v>
      </x:c>
      <x:c r="J76" s="11" t="str">
        <x:v>not_fleeing</x:v>
      </x:c>
      <x:c r="K76" s="16" t="b">
        <x:v>0</x:v>
      </x:c>
      <x:c r="L76" s="16" t="b">
        <x:v>0</x:v>
      </x:c>
      <x:c r="M76" s="16" t="b">
        <x:v>1</x:v>
      </x:c>
      <x:c r="N76" s="11" t="str">
        <x:v>Albuquerque Police Department</x:v>
      </x:c>
      <x:c r="O76" s="11" t="n">
        <x:v>35.07007835051782</x:v>
      </x:c>
      <x:c r="P76" s="11" t="n">
        <x:v>-106.52483600654854</x:v>
      </x:c>
    </x:row>
    <x:row r="77">
      <x:c r="A77" s="11" t="n">
        <x:v>11054</x:v>
      </x:c>
      <x:c r="B77" s="11" t="str">
        <x:v>2024-10-18</x:v>
      </x:c>
      <x:c r="C77" s="11" t="n">
        <x:v>2024</x:v>
      </x:c>
      <x:c r="D77" s="11" t="str">
        <x:v>Matthew Freddie Garcia</x:v>
      </x:c>
      <x:c r="E77" s="11" t="n">
        <x:v>39</x:v>
      </x:c>
      <x:c r="F77" s="11" t="str">
        <x:v>male</x:v>
      </x:c>
      <x:c r="G77" s="11" t="str">
        <x:v>Unknown</x:v>
      </x:c>
      <x:c r="H77" s="11" t="str">
        <x:v>gun</x:v>
      </x:c>
      <x:c r="I77" s="11" t="str">
        <x:v>undetermined</x:v>
      </x:c>
      <x:c r="J77" s="11" t="str">
        <x:v>not_fleeing</x:v>
      </x:c>
      <x:c r="K77" s="16" t="b">
        <x:v>0</x:v>
      </x:c>
      <x:c r="L77" s="16" t="b">
        <x:v>1</x:v>
      </x:c>
      <x:c r="M77" s="16" t="b">
        <x:v>1</x:v>
      </x:c>
      <x:c r="N77" s="11" t="str">
        <x:v>Albuquerque Police Department</x:v>
      </x:c>
      <x:c r="O77" s="11" t="n">
        <x:v>35.0821671113886</x:v>
      </x:c>
      <x:c r="P77" s="11" t="n">
        <x:v>-106.70108630777504</x:v>
      </x:c>
    </x:row>
    <x:row r="78">
      <x:c r="A78" s="11" t="n">
        <x:v>11143</x:v>
      </x:c>
      <x:c r="B78" s="11" t="str">
        <x:v>2024-11-11</x:v>
      </x:c>
      <x:c r="C78" s="11" t="n">
        <x:v>2024</x:v>
      </x:c>
      <x:c r="D78" s="11" t="str">
        <x:v>Anthony Hernandez</x:v>
      </x:c>
      <x:c r="E78" s="11" t="n">
        <x:v>30</x:v>
      </x:c>
      <x:c r="F78" s="11" t="str">
        <x:v>male</x:v>
      </x:c>
      <x:c r="G78" s="11" t="str">
        <x:v>Unknown</x:v>
      </x:c>
      <x:c r="H78" s="11" t="str">
        <x:v>gun</x:v>
      </x:c>
      <x:c r="I78" s="11" t="str">
        <x:v>shoot</x:v>
      </x:c>
      <x:c r="J78" s="11" t="str">
        <x:v>missing</x:v>
      </x:c>
      <x:c r="K78" s="16" t="b">
        <x:v>0</x:v>
      </x:c>
      <x:c r="L78" s="16" t="b">
        <x:v>0</x:v>
      </x:c>
      <x:c r="M78" s="16" t="b">
        <x:v>1</x:v>
      </x:c>
      <x:c r="N78" s="11" t="str">
        <x:v>Albuquerque Police Department</x:v>
      </x:c>
      <x:c r="O78" s="11" t="n">
        <x:v>35.105678293518</x:v>
      </x:c>
      <x:c r="P78" s="11" t="n">
        <x:v>-106.587871954946</x:v>
      </x:c>
    </x:row>
  </x:sheetData>
  <x:pageMargins left="0.7" right="0.7" top="0.75" bottom="0.75" header="0.3" footer="0.3"/>
  <x:tableParts count="1">
    <x:tablePart xmlns:r="http://schemas.openxmlformats.org/officeDocument/2006/relationships" r:id="Re682c1ef727b41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8" t="str">
        <x:v>Source</x:v>
      </x:c>
      <x:c r="B1" s="18" t="str">
        <x:v>Use in workbook</x:v>
      </x:c>
      <x:c r="C1" s="18" t="str">
        <x:v>URL</x:v>
      </x:c>
      <x:c r="D1" s="18" t="str">
        <x:v>Notes</x:v>
      </x:c>
    </x:row>
    <x:row r="2">
      <x:c r="A2" s="11" t="str">
        <x:v>Washington Post Fatal Force data</x:v>
      </x:c>
      <x:c r="B2" s="11" t="str">
        <x:v>Incident-level fatal police shootings base data</x:v>
      </x:c>
      <x:c r="C2" s="11" t="str">
        <x:v>https://github.com/washingtonpost/data-police-shootings</x:v>
      </x:c>
      <x:c r="D2" s="11" t="str">
        <x:v>Cleaned package supplied in project workspace.</x:v>
      </x:c>
    </x:row>
    <x:row r="3">
      <x:c r="A3" s="11" t="str">
        <x:v>U.S. Census Bureau QuickFacts: Albuquerque city, New Mexico</x:v>
      </x:c>
      <x:c r="B3" s="11" t="str">
        <x:v>2024 city population denominator</x:v>
      </x:c>
      <x:c r="C3" s="11" t="str">
        <x:v>https://www.census.gov/quickfacts/albuquerquecitynewmexico</x:v>
      </x:c>
      <x:c r="D3" s="11" t="str">
        <x:v>Used as constant denominator for first-pass city rate.</x:v>
      </x:c>
    </x:row>
    <x:row r="4">
      <x:c r="A4" s="11" t="str">
        <x:v>U.S. Census Bureau QuickFacts: Bernalillo County, New Mexico</x:v>
      </x:c>
      <x:c r="B4" s="11" t="str">
        <x:v>County denominator for planned extension</x:v>
      </x:c>
      <x:c r="C4" s="11" t="str">
        <x:v>https://www.census.gov/quickfacts/bernalillocountynewmexico</x:v>
      </x:c>
      <x:c r="D4" s="11" t="str">
        <x:v>Not fully modeled yet.</x:v>
      </x:c>
    </x:row>
    <x:row r="5">
      <x:c r="A5" s="11" t="str">
        <x:v>U.S. Department of Justice APD findings letter, 2014</x:v>
      </x:c>
      <x:c r="B5" s="11" t="str">
        <x:v>Institutional context for APD reform period</x:v>
      </x:c>
      <x:c r="C5" s="11" t="str">
        <x:v>https://www.justice.gov/sites/default/files/crt/legacy/2014/04/10/apd_findings_4-10-14.pdf</x:v>
      </x:c>
      <x:c r="D5" s="11" t="str">
        <x:v>Context only, not used as a numeric variable.</x:v>
      </x:c>
    </x:row>
    <x:row r="6">
      <x:c r="A6" s="11" t="str">
        <x:v>AP reporting on APD compliance milestone</x:v>
      </x:c>
      <x:c r="B6" s="11" t="str">
        <x:v>Reform period context</x:v>
      </x:c>
      <x:c r="C6" s="11" t="str">
        <x:v>https://apnews.com/article/f457dd25e46c19b63f78cdc55f70bfc7</x:v>
      </x:c>
      <x:c r="D6" s="11" t="str">
        <x:v>Context only.</x:v>
      </x:c>
    </x:row>
    <x:row r="7">
      <x:c r="A7" s="11" t="str">
        <x:v>Project-derived CSVs</x:v>
      </x:c>
      <x:c r="B7" s="11" t="str">
        <x:v>Albuquerque extraction and metrics</x:v>
      </x:c>
      <x:c r="C7" s="11" t="str">
        <x:v>/mnt/data/police_shootings_albuquerque_focus/data</x:v>
      </x:c>
      <x:c r="D7" s="11" t="str">
        <x:v>Generated from cleaned project data.</x:v>
      </x:c>
    </x:row>
  </x:sheetData>
  <x:pageMargins left="0.7" right="0.7" top="0.75" bottom="0.75" header="0.3" footer="0.3"/>
</x:worksheet>
</file>