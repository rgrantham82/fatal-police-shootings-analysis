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Dashboard" sheetId="1" state="visible" r:id="rId1"/>
    <sheet xmlns:r="http://schemas.openxmlformats.org/officeDocument/2006/relationships" name="State Patterns" sheetId="2" state="visible" r:id="rId2"/>
    <sheet xmlns:r="http://schemas.openxmlformats.org/officeDocument/2006/relationships" name="Model &amp; Tests" sheetId="3" state="visible" r:id="rId3"/>
    <sheet xmlns:r="http://schemas.openxmlformats.org/officeDocument/2006/relationships" name="National" sheetId="4" state="visible" r:id="rId4"/>
    <sheet xmlns:r="http://schemas.openxmlformats.org/officeDocument/2006/relationships" name="StateRates" sheetId="5" state="visible" r:id="rId5"/>
    <sheet xmlns:r="http://schemas.openxmlformats.org/officeDocument/2006/relationships" name="StateYear" sheetId="6" state="visible" r:id="rId6"/>
    <sheet xmlns:r="http://schemas.openxmlformats.org/officeDocument/2006/relationships" name="ModelEval" sheetId="7" state="visible" r:id="rId7"/>
    <sheet xmlns:r="http://schemas.openxmlformats.org/officeDocument/2006/relationships" name="Forecast2025" sheetId="8" state="visible" r:id="rId8"/>
    <sheet xmlns:r="http://schemas.openxmlformats.org/officeDocument/2006/relationships" name="Tests" sheetId="9" state="visible" r:id="rId9"/>
    <sheet xmlns:r="http://schemas.openxmlformats.org/officeDocument/2006/relationships" name="Region" sheetId="10" state="visible" r:id="rId10"/>
    <sheet xmlns:r="http://schemas.openxmlformats.org/officeDocument/2006/relationships" name="Pairwise" sheetId="11" state="visible" r:id="rId11"/>
    <sheet xmlns:r="http://schemas.openxmlformats.org/officeDocument/2006/relationships" name="Residual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Read Me" sheetId="14" state="visible" r:id="rId14"/>
    <sheet xmlns:r="http://schemas.openxmlformats.org/officeDocument/2006/relationships" name="Incident Characteristics" sheetId="15" state="visible" r:id="rId15"/>
    <sheet xmlns:r="http://schemas.openxmlformats.org/officeDocument/2006/relationships" name="ChartData" sheetId="16" state="hidden" r:id="rId16"/>
    <sheet xmlns:r="http://schemas.openxmlformats.org/officeDocument/2006/relationships" name="Review Notes" sheetId="17" state="visible" r:id="rId17"/>
  </sheets>
  <definedNames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23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  <font>
      <name val="Carlito"/>
      <b val="1"/>
      <color rgb="00FFFFFF"/>
      <sz val="12"/>
    </font>
    <font>
      <name val="Carlito"/>
      <b val="1"/>
      <color rgb="00FFFFFF"/>
      <sz val="18"/>
    </font>
    <font>
      <name val="Carlito"/>
      <i val="1"/>
      <color rgb="000F172A"/>
      <sz val="11"/>
    </font>
    <font>
      <name val="Carlito"/>
      <b val="1"/>
      <color rgb="00475569"/>
      <sz val="10"/>
    </font>
    <font>
      <name val="Carlito"/>
      <b val="1"/>
      <color rgb="000F172A"/>
      <sz val="18"/>
    </font>
    <font>
      <name val="Carlito"/>
      <b val="1"/>
      <color rgb="000F172A"/>
      <sz val="11"/>
    </font>
    <font>
      <name val="Carlito"/>
      <i val="1"/>
      <color rgb="00475569"/>
      <sz val="9"/>
    </font>
    <font>
      <name val="Carlito"/>
      <color rgb="000F172A"/>
      <sz val="10"/>
    </font>
    <font>
      <name val="Aptos"/>
      <b val="1"/>
      <color rgb="00FFFFFF"/>
      <sz val="18"/>
    </font>
    <font>
      <name val="Aptos"/>
      <sz val="11"/>
    </font>
    <font>
      <name val="Aptos"/>
      <i val="1"/>
      <color rgb="000F172A"/>
      <sz val="11"/>
    </font>
    <font>
      <name val="Aptos"/>
      <b val="1"/>
      <color rgb="00475569"/>
      <sz val="10"/>
    </font>
    <font>
      <name val="Aptos"/>
      <b val="1"/>
      <color rgb="000F172A"/>
      <sz val="18"/>
    </font>
    <font>
      <name val="Aptos"/>
      <b val="1"/>
      <color rgb="00FFFFFF"/>
      <sz val="12"/>
    </font>
    <font>
      <name val="Aptos"/>
      <b val="1"/>
      <color rgb="000F172A"/>
      <sz val="11"/>
    </font>
    <font>
      <name val="Aptos"/>
      <i val="1"/>
      <color rgb="00475569"/>
      <sz val="9"/>
    </font>
    <font>
      <name val="Aptos"/>
      <color rgb="000F172A"/>
      <sz val="10"/>
    </font>
    <font>
      <name val="Aptos"/>
      <b val="1"/>
      <color rgb="00FFFFFF"/>
      <sz val="11"/>
    </font>
    <font>
      <b val="1"/>
      <color rgb="00FFFFFF"/>
    </font>
    <font>
      <color rgb="00111827"/>
    </font>
  </fonts>
  <fills count="10">
    <fill>
      <patternFill/>
    </fill>
    <fill>
      <patternFill patternType="gray125"/>
    </fill>
    <fill>
      <patternFill patternType="solid">
        <fgColor rgb="00334155"/>
      </patternFill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E2E8F0"/>
      </patternFill>
    </fill>
    <fill>
      <patternFill patternType="solid">
        <fgColor rgb="00EFF6FF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1F4E78"/>
      </patternFill>
    </fill>
  </fills>
  <borders count="3">
    <border/>
    <border/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1"/>
  </cellStyleXfs>
  <cellXfs count="1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3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0" fontId="0" fillId="0" borderId="0" pivotButton="0" quotePrefix="0" xfId="0"/>
    <xf numFmtId="0" fontId="0" fillId="0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left"/>
    </xf>
    <xf numFmtId="0" fontId="3" fillId="4" borderId="1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4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 vertical="center"/>
    </xf>
    <xf numFmtId="0" fontId="0" fillId="6" borderId="0" pivotButton="0" quotePrefix="0" xfId="0"/>
    <xf numFmtId="0" fontId="6" fillId="6" borderId="0" pivotButton="0" quotePrefix="0" xfId="0"/>
    <xf numFmtId="0" fontId="6" fillId="6" borderId="0" applyAlignment="1" pivotButton="0" quotePrefix="0" xfId="0">
      <alignment horizontal="center"/>
    </xf>
    <xf numFmtId="0" fontId="0" fillId="6" borderId="1" pivotButton="0" quotePrefix="0" xfId="0"/>
    <xf numFmtId="0" fontId="6" fillId="6" borderId="1" pivotButton="0" quotePrefix="0" xfId="0"/>
    <xf numFmtId="0" fontId="6" fillId="6" borderId="1" applyAlignment="1" pivotButton="0" quotePrefix="0" xfId="0">
      <alignment horizontal="center"/>
    </xf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7" fillId="6" borderId="0" applyAlignment="1" pivotButton="0" quotePrefix="0" xfId="0">
      <alignment horizontal="center" vertical="center"/>
    </xf>
    <xf numFmtId="0" fontId="7" fillId="6" borderId="1" pivotButton="0" quotePrefix="0" xfId="0"/>
    <xf numFmtId="0" fontId="7" fillId="6" borderId="1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2" fontId="7" fillId="6" borderId="0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0" fillId="7" borderId="0" pivotButton="0" quotePrefix="0" xfId="0"/>
    <xf numFmtId="0" fontId="8" fillId="7" borderId="0" pivotButton="0" quotePrefix="0" xfId="0"/>
    <xf numFmtId="0" fontId="8" fillId="7" borderId="0" applyAlignment="1" pivotButton="0" quotePrefix="0" xfId="0">
      <alignment horizontal="center"/>
    </xf>
    <xf numFmtId="0" fontId="0" fillId="7" borderId="1" pivotButton="0" quotePrefix="0" xfId="0"/>
    <xf numFmtId="0" fontId="8" fillId="7" borderId="1" pivotButton="0" quotePrefix="0" xfId="0"/>
    <xf numFmtId="0" fontId="8" fillId="7" borderId="1" applyAlignment="1" pivotButton="0" quotePrefix="0" xfId="0">
      <alignment horizontal="center"/>
    </xf>
    <xf numFmtId="0" fontId="0" fillId="8" borderId="0" pivotButton="0" quotePrefix="0" xfId="0"/>
    <xf numFmtId="0" fontId="8" fillId="8" borderId="0" pivotButton="0" quotePrefix="0" xfId="0"/>
    <xf numFmtId="0" fontId="8" fillId="8" borderId="0" applyAlignment="1" pivotButton="0" quotePrefix="0" xfId="0">
      <alignment horizontal="center"/>
    </xf>
    <xf numFmtId="0" fontId="0" fillId="8" borderId="1" pivotButton="0" quotePrefix="0" xfId="0"/>
    <xf numFmtId="0" fontId="8" fillId="8" borderId="1" pivotButton="0" quotePrefix="0" xfId="0"/>
    <xf numFmtId="0" fontId="8" fillId="8" borderId="1" applyAlignment="1" pivotButton="0" quotePrefix="0" xfId="0">
      <alignment horizontal="center"/>
    </xf>
    <xf numFmtId="0" fontId="9" fillId="8" borderId="0" pivotButton="0" quotePrefix="0" xfId="0"/>
    <xf numFmtId="0" fontId="9" fillId="8" borderId="0" applyAlignment="1" pivotButton="0" quotePrefix="0" xfId="0">
      <alignment horizontal="center"/>
    </xf>
    <xf numFmtId="0" fontId="9" fillId="8" borderId="1" pivotButton="0" quotePrefix="0" xfId="0"/>
    <xf numFmtId="0" fontId="9" fillId="8" borderId="1" applyAlignment="1" pivotButton="0" quotePrefix="0" xfId="0">
      <alignment horizontal="center"/>
    </xf>
    <xf numFmtId="0" fontId="10" fillId="8" borderId="0" pivotButton="0" quotePrefix="0" xfId="0"/>
    <xf numFmtId="0" fontId="10" fillId="8" borderId="0" applyAlignment="1" pivotButton="0" quotePrefix="0" xfId="0">
      <alignment wrapText="1"/>
    </xf>
    <xf numFmtId="0" fontId="10" fillId="8" borderId="0" applyAlignment="1" pivotButton="0" quotePrefix="0" xfId="0">
      <alignment vertical="top" wrapText="1"/>
    </xf>
    <xf numFmtId="0" fontId="10" fillId="8" borderId="1" pivotButton="0" quotePrefix="0" xfId="0"/>
    <xf numFmtId="0" fontId="10" fillId="8" borderId="1" applyAlignment="1" pivotButton="0" quotePrefix="0" xfId="0">
      <alignment wrapText="1"/>
    </xf>
    <xf numFmtId="0" fontId="10" fillId="8" borderId="1" applyAlignment="1" pivotButton="0" quotePrefix="0" xfId="0">
      <alignment vertical="top" wrapText="1"/>
    </xf>
    <xf numFmtId="2" fontId="0" fillId="0" borderId="0" pivotButton="0" quotePrefix="0" xfId="0"/>
    <xf numFmtId="2" fontId="0" fillId="0" borderId="1" pivotButton="0" quotePrefix="0" xfId="0"/>
    <xf numFmtId="49" fontId="7" fillId="6" borderId="0" applyAlignment="1" pivotButton="0" quotePrefix="0" xfId="0">
      <alignment horizontal="center" vertical="center"/>
    </xf>
    <xf numFmtId="49" fontId="7" fillId="6" borderId="1" applyAlignment="1" pivotButton="0" quotePrefix="0" xfId="0">
      <alignment horizontal="center" vertical="center"/>
    </xf>
    <xf numFmtId="165" fontId="7" fillId="6" borderId="0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" fontId="7" fillId="6" borderId="0" applyAlignment="1" pivotButton="0" quotePrefix="0" xfId="0">
      <alignment horizontal="center" vertical="center"/>
    </xf>
    <xf numFmtId="1" fontId="7" fillId="6" borderId="1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2" fillId="0" borderId="0" pivotButton="0" quotePrefix="0" xfId="0"/>
    <xf numFmtId="0" fontId="13" fillId="5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center"/>
    </xf>
    <xf numFmtId="3" fontId="15" fillId="6" borderId="0" applyAlignment="1" pivotButton="0" quotePrefix="0" xfId="0">
      <alignment horizontal="center" vertical="center"/>
    </xf>
    <xf numFmtId="2" fontId="15" fillId="6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/>
    </xf>
    <xf numFmtId="0" fontId="17" fillId="7" borderId="0" applyAlignment="1" pivotButton="0" quotePrefix="0" xfId="0">
      <alignment horizontal="center"/>
    </xf>
    <xf numFmtId="0" fontId="17" fillId="8" borderId="0" applyAlignment="1" pivotButton="0" quotePrefix="0" xfId="0">
      <alignment horizontal="center"/>
    </xf>
    <xf numFmtId="0" fontId="18" fillId="8" borderId="0" applyAlignment="1" pivotButton="0" quotePrefix="0" xfId="0">
      <alignment horizontal="center"/>
    </xf>
    <xf numFmtId="0" fontId="19" fillId="8" borderId="0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/>
    </xf>
    <xf numFmtId="0" fontId="12" fillId="0" borderId="1" pivotButton="0" quotePrefix="0" xfId="0"/>
    <xf numFmtId="0" fontId="13" fillId="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/>
    </xf>
    <xf numFmtId="3" fontId="15" fillId="6" borderId="1" applyAlignment="1" pivotButton="0" quotePrefix="0" xfId="0">
      <alignment horizontal="center" vertical="center"/>
    </xf>
    <xf numFmtId="2" fontId="15" fillId="6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/>
    </xf>
    <xf numFmtId="0" fontId="17" fillId="8" borderId="1" applyAlignment="1" pivotButton="0" quotePrefix="0" xfId="0">
      <alignment horizontal="center"/>
    </xf>
    <xf numFmtId="0" fontId="18" fillId="8" borderId="1" applyAlignment="1" pivotButton="0" quotePrefix="0" xfId="0">
      <alignment horizontal="center"/>
    </xf>
    <xf numFmtId="0" fontId="19" fillId="8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0" fontId="13" fillId="5" borderId="0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wrapText="1"/>
    </xf>
    <xf numFmtId="3" fontId="15" fillId="6" borderId="0" applyAlignment="1" pivotButton="0" quotePrefix="0" xfId="0">
      <alignment horizontal="center" vertical="center" wrapText="1"/>
    </xf>
    <xf numFmtId="2" fontId="15" fillId="6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center" wrapText="1"/>
    </xf>
    <xf numFmtId="0" fontId="17" fillId="8" borderId="0" applyAlignment="1" pivotButton="0" quotePrefix="0" xfId="0">
      <alignment horizontal="center" wrapText="1"/>
    </xf>
    <xf numFmtId="0" fontId="18" fillId="8" borderId="0" applyAlignment="1" pivotButton="0" quotePrefix="0" xfId="0">
      <alignment horizont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wrapText="1"/>
    </xf>
    <xf numFmtId="0" fontId="13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wrapText="1"/>
    </xf>
    <xf numFmtId="3" fontId="15" fillId="6" borderId="1" applyAlignment="1" pivotButton="0" quotePrefix="0" xfId="0">
      <alignment horizontal="center" vertical="center" wrapText="1"/>
    </xf>
    <xf numFmtId="2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wrapText="1"/>
    </xf>
    <xf numFmtId="0" fontId="17" fillId="8" borderId="1" applyAlignment="1" pivotButton="0" quotePrefix="0" xfId="0">
      <alignment horizontal="center" wrapText="1"/>
    </xf>
    <xf numFmtId="0" fontId="18" fillId="8" borderId="1" applyAlignment="1" pivotButton="0" quotePrefix="0" xfId="0">
      <alignment horizontal="center" wrapText="1"/>
    </xf>
    <xf numFmtId="0" fontId="20" fillId="2" borderId="0" applyAlignment="1" pivotButton="0" quotePrefix="0" xfId="0">
      <alignment horizontal="center" vertical="center" wrapText="1"/>
    </xf>
    <xf numFmtId="3" fontId="12" fillId="0" borderId="0" pivotButton="0" quotePrefix="0" xfId="0"/>
    <xf numFmtId="2" fontId="12" fillId="0" borderId="0" pivotButton="0" quotePrefix="0" xfId="0"/>
    <xf numFmtId="0" fontId="20" fillId="2" borderId="1" applyAlignment="1" pivotButton="0" quotePrefix="0" xfId="0">
      <alignment horizontal="center" vertical="center" wrapText="1"/>
    </xf>
    <xf numFmtId="3" fontId="12" fillId="0" borderId="1" pivotButton="0" quotePrefix="0" xfId="0"/>
    <xf numFmtId="2" fontId="12" fillId="0" borderId="1" pivotButton="0" quotePrefix="0" xfId="0"/>
    <xf numFmtId="3" fontId="12" fillId="0" borderId="0" applyAlignment="1" pivotButton="0" quotePrefix="0" xfId="0">
      <alignment wrapText="1"/>
    </xf>
    <xf numFmtId="2" fontId="12" fillId="0" borderId="0" applyAlignment="1" pivotButton="0" quotePrefix="0" xfId="0">
      <alignment wrapText="1"/>
    </xf>
    <xf numFmtId="3" fontId="12" fillId="0" borderId="1" applyAlignment="1" pivotButton="0" quotePrefix="0" xfId="0">
      <alignment wrapText="1"/>
    </xf>
    <xf numFmtId="2" fontId="12" fillId="0" borderId="1" applyAlignment="1" pivotButton="0" quotePrefix="0" xfId="0">
      <alignment wrapText="1"/>
    </xf>
    <xf numFmtId="49" fontId="15" fillId="6" borderId="0" applyAlignment="1" pivotButton="0" quotePrefix="0" xfId="0">
      <alignment horizontal="center" vertical="center"/>
    </xf>
    <xf numFmtId="165" fontId="15" fillId="6" borderId="0" applyAlignment="1" pivotButton="0" quotePrefix="0" xfId="0">
      <alignment horizontal="center" vertical="center"/>
    </xf>
    <xf numFmtId="1" fontId="15" fillId="6" borderId="0" applyAlignment="1" pivotButton="0" quotePrefix="0" xfId="0">
      <alignment horizontal="center" vertical="center"/>
    </xf>
    <xf numFmtId="164" fontId="12" fillId="0" borderId="0" pivotButton="0" quotePrefix="0" xfId="0"/>
    <xf numFmtId="49" fontId="15" fillId="6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164" fontId="12" fillId="0" borderId="1" pivotButton="0" quotePrefix="0" xfId="0"/>
    <xf numFmtId="49" fontId="15" fillId="6" borderId="0" applyAlignment="1" pivotButton="0" quotePrefix="0" xfId="0">
      <alignment horizontal="center" vertical="center" wrapText="1"/>
    </xf>
    <xf numFmtId="165" fontId="15" fillId="6" borderId="0" applyAlignment="1" pivotButton="0" quotePrefix="0" xfId="0">
      <alignment horizontal="center" vertical="center" wrapText="1"/>
    </xf>
    <xf numFmtId="1" fontId="15" fillId="6" borderId="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wrapText="1"/>
    </xf>
    <xf numFmtId="49" fontId="15" fillId="6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center" vertical="center" wrapText="1"/>
    </xf>
    <xf numFmtId="1" fontId="15" fillId="6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wrapText="1"/>
    </xf>
    <xf numFmtId="3" fontId="15" fillId="6" borderId="1" applyAlignment="1" pivotButton="0" quotePrefix="0" xfId="0">
      <alignment horizontal="center" vertical="center" wrapText="1"/>
    </xf>
    <xf numFmtId="2" fontId="15" fillId="6" borderId="1" applyAlignment="1" pivotButton="0" quotePrefix="0" xfId="0">
      <alignment horizontal="center" vertical="center" wrapText="1"/>
    </xf>
    <xf numFmtId="3" fontId="12" fillId="0" borderId="0" applyAlignment="1" pivotButton="0" quotePrefix="0" xfId="0">
      <alignment wrapText="1"/>
    </xf>
    <xf numFmtId="2" fontId="12" fillId="0" borderId="0" applyAlignment="1" pivotButton="0" quotePrefix="0" xfId="0">
      <alignment wrapText="1"/>
    </xf>
    <xf numFmtId="49" fontId="15" fillId="6" borderId="1" applyAlignment="1" pivotButton="0" quotePrefix="0" xfId="0">
      <alignment horizontal="center" vertical="center" wrapText="1"/>
    </xf>
    <xf numFmtId="165" fontId="15" fillId="6" borderId="1" applyAlignment="1" pivotButton="0" quotePrefix="0" xfId="0">
      <alignment horizontal="center" vertical="center" wrapText="1"/>
    </xf>
    <xf numFmtId="1" fontId="15" fillId="6" borderId="1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wrapText="1"/>
    </xf>
    <xf numFmtId="3" fontId="0" fillId="0" borderId="0" pivotButton="0" quotePrefix="0" xfId="0"/>
    <xf numFmtId="164" fontId="0" fillId="0" borderId="0" pivotButton="0" quotePrefix="0" xfId="0"/>
    <xf numFmtId="0" fontId="21" fillId="9" borderId="0" applyAlignment="1" pivotButton="0" quotePrefix="0" xfId="0">
      <alignment wrapText="1"/>
    </xf>
    <xf numFmtId="0" fontId="21" fillId="9" borderId="2" applyAlignment="1" pivotButton="0" quotePrefix="0" xfId="0">
      <alignment vertical="top" wrapText="1"/>
    </xf>
    <xf numFmtId="0" fontId="22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National fatal police shooting rate per 1M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'ChartData'!$V$2:$V$11</f>
            </numRef>
          </cat>
          <val>
            <numRef>
              <f>'ChartData'!$W$2:$W$11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per 1M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states by annualized rate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'ChartData'!$A$2:$A$16</f>
            </numRef>
          </cat>
          <val>
            <numRef>
              <f>'ChartData'!$B$2:$B$16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per 1M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annualized rate by Census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'ChartData'!$D$2:$D$5</f>
            </numRef>
          </cat>
          <val>
            <numRef>
              <f>'ChartData'!$E$2:$E$5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per 1M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Observed vs expected state totals</a:t>
            </a:r>
          </a:p>
        </rich>
      </tx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'ChartData'!$H$2:$H$52</f>
            </numRef>
          </xVal>
          <yVal>
            <numRef>
              <f>'ChartData'!$I$2:$I$52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fatal shootings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fatal shootings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Observed vs expected fatal shootings by state</a:t>
            </a:r>
          </a:p>
        </rich>
      </tx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'ChartData'!$H$2:$H$52</f>
            </numRef>
          </xVal>
          <yVal>
            <numRef>
              <f>'ChartData'!$I$2:$I$52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rate vs unarmed rate by state</a:t>
            </a:r>
          </a:p>
        </rich>
      </tx>
    </title>
    <plotArea>
      <scatterChart>
        <ser>
          <idx val="0"/>
          <order val="0"/>
          <tx>
            <v>States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'ChartData'!$J$2:$J$52</f>
            </numRef>
          </xVal>
          <yVal>
            <numRef>
              <f>'ChartData'!$K$2:$K$52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rate per 1M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Unarmed rate per 1M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state rates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'ChartData'!AE1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'ChartData'!$AE$2:$AE$11</f>
            </numRef>
          </val>
        </ser>
        <ser>
          <idx val="1"/>
          <order val="1"/>
          <tx>
            <strRef>
              <f>'ChartData'!AF1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'ChartData'!$AF$2:$AF$11</f>
            </numRef>
          </val>
        </ser>
        <ser>
          <idx val="2"/>
          <order val="2"/>
          <tx>
            <strRef>
              <f>'ChartData'!AG1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'ChartData'!$AG$2:$AG$11</f>
            </numRef>
          </val>
        </ser>
        <ser>
          <idx val="3"/>
          <order val="3"/>
          <tx>
            <strRef>
              <f>'ChartData'!AH1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'ChartData'!$AH$2:$AH$11</f>
            </numRef>
          </val>
        </ser>
        <ser>
          <idx val="4"/>
          <order val="4"/>
          <tx>
            <strRef>
              <f>'ChartData'!AI1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'ChartData'!$AI$2:$AI$11</f>
            </numRef>
          </val>
        </ser>
        <ser>
          <idx val="5"/>
          <order val="5"/>
          <tx>
            <strRef>
              <f>'ChartData'!AJ1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'ChartData'!$AJ$2:$AJ$11</f>
            </numRef>
          </val>
        </ser>
        <ser>
          <idx val="6"/>
          <order val="6"/>
          <tx>
            <strRef>
              <f>'ChartData'!AK1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'ChartData'!$AK$2:$AK$11</f>
            </numRef>
          </val>
        </ser>
        <ser>
          <idx val="7"/>
          <order val="7"/>
          <tx>
            <strRef>
              <f>'ChartData'!AL1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'ChartData'!$AL$2:$AL$11</f>
            </numRef>
          </val>
        </ser>
        <ser>
          <idx val="8"/>
          <order val="8"/>
          <tx>
            <strRef>
              <f>'ChartData'!AM1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'ChartData'!$AM$2:$AM$11</f>
            </numRef>
          </val>
        </ser>
        <ser>
          <idx val="9"/>
          <order val="9"/>
          <tx>
            <strRef>
              <f>'ChartData'!AN1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'ChartData'!$AD$2:$AD$11</f>
            </numRef>
          </cat>
          <val>
            <numRef>
              <f>'ChartData'!$AN$2:$AN$11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per 1M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comparison: holdout Count MAE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'ChartData'!O1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'ChartData'!$N$2:$N$8</f>
            </numRef>
          </cat>
          <val>
            <numRef>
              <f>'ChartData'!$O$2:$O$8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states: 2025 forecast rate per 1M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'ChartData'!T1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'ChartData'!$R$2:$R$16</f>
            </numRef>
          </cat>
          <val>
            <numRef>
              <f>'ChartData'!$T$2:$T$16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Forecast rate per 1M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Pairwise model MAE differences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'ChartData'!AK1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'ChartData'!$AJ$2:$AJ$7</f>
            </numRef>
          </cat>
          <val>
            <numRef>
              <f>'ChartData'!$AK$2:$AK$7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Best minus comparator MAE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Body-camera-indicated rate per 1M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'ChartData'!$V$2:$V$11</f>
            </numRef>
          </cat>
          <val>
            <numRef>
              <f>'ChartData'!$Y$2:$Y$11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per 1M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Body camera vs no body camera counts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'ChartData'!AA1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'ChartData'!$V$2:$V$11</f>
            </numRef>
          </cat>
          <val>
            <numRef>
              <f>'ChartData'!$AA$2:$AA$11</f>
            </numRef>
          </val>
        </ser>
        <ser>
          <idx val="1"/>
          <order val="1"/>
          <tx>
            <strRef>
              <f>'ChartData'!AB1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'ChartData'!$V$2:$V$11</f>
            </numRef>
          </cat>
          <val>
            <numRef>
              <f>'ChartData'!$AB$2:$AB$11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Unarmed fatal shooting rate per 1M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'ChartData'!$V$2:$V$11</f>
            </numRef>
          </cat>
          <val>
            <numRef>
              <f>'ChartData'!$X$2:$X$11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per 1M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Relationship Type="http://schemas.openxmlformats.org/officeDocument/2006/relationships/chart" Target="/xl/charts/chart7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951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11</row>
      <rowOff>0</rowOff>
    </from>
    <ext cx="5040000" cy="2951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5040000" cy="2951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31</row>
      <rowOff>0</rowOff>
    </from>
    <ext cx="5040000" cy="2951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864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8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54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32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</row>
      <rowOff>0</rowOff>
    </from>
    <ext cx="50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</row>
      <rowOff>0</rowOff>
    </from>
    <ext cx="504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0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op10StateRates" displayName="Top10StateRates" ref="A44:G54" headerRowCount="1">
  <tableColumns count="7">
    <tableColumn id="1" name="Rank"/>
    <tableColumn id="2" name="State"/>
    <tableColumn id="3" name="Fatal shootings"/>
    <tableColumn id="4" name="Avg population"/>
    <tableColumn id="5" name="Annualized rate per 1M"/>
    <tableColumn id="6" name="Unarmed count"/>
    <tableColumn id="7" name="Mental-illness related count"/>
  </tableColumns>
  <tableStyleInfo name="TableStyleMedium2" showRowStripes="1"/>
</table>
</file>

<file path=xl/tables/table2.xml><?xml version="1.0" encoding="utf-8"?>
<table xmlns="http://schemas.openxmlformats.org/spreadsheetml/2006/main" id="2" name="KeySignificantTests" displayName="KeySignificantTests" ref="A48:E56" headerRowCount="1">
  <tableColumns count="5">
    <tableColumn id="1" name="Test ID"/>
    <tableColumn id="2" name="Family"/>
    <tableColumn id="3" name="p-value"/>
    <tableColumn id="4" name="FDR p-value"/>
    <tableColumn id="5" name="Conclusion"/>
  </tableColumns>
  <tableStyleInfo name="TableStyleMedium2" showRowStripes="1"/>
</table>
</file>

<file path=xl/tables/table3.xml><?xml version="1.0" encoding="utf-8"?>
<table xmlns="http://schemas.openxmlformats.org/spreadsheetml/2006/main" id="3" name="NationalRates" displayName="NationalRates" ref="A1:P11" headerRowCount="1">
  <tableColumns count="16">
    <tableColumn id="1" name="year"/>
    <tableColumn id="2" name="fatal_shootings"/>
    <tableColumn id="3" name="population"/>
    <tableColumn id="4" name="fatal_shootings_per_100k"/>
    <tableColumn id="5" name="fatal_shootings_per_1m"/>
    <tableColumn id="6" name="unarmed_count"/>
    <tableColumn id="7" name="unarmed_per_1m"/>
    <tableColumn id="8" name="armed_with_gun_count"/>
    <tableColumn id="9" name="armed_with_gun_per_1m"/>
    <tableColumn id="10" name="mental_illness_related_count"/>
    <tableColumn id="11" name="mental_illness_related_per_1m"/>
    <tableColumn id="12" name="body_camera_count"/>
    <tableColumn id="13" name="body_camera_per_1m"/>
    <tableColumn id="14" name="race_known_count"/>
    <tableColumn id="15" name="race_missing_count"/>
    <tableColumn id="16" name="population_source_vintage"/>
  </tableColumns>
  <tableStyleInfo name="TableStyleMedium2" showRowStripes="1"/>
</table>
</file>

<file path=xl/tables/table4.xml><?xml version="1.0" encoding="utf-8"?>
<table xmlns="http://schemas.openxmlformats.org/spreadsheetml/2006/main" id="4" name="StateOverallRates" displayName="StateOverallRates" ref="A1:I52" headerRowCount="1">
  <tableColumns count="9">
    <tableColumn id="1" name="state_abbr"/>
    <tableColumn id="2" name="state_fips"/>
    <tableColumn id="3" name="state_name"/>
    <tableColumn id="4" name="fatal_shootings_2015_2024"/>
    <tableColumn id="5" name="avg_population_2015_2024"/>
    <tableColumn id="6" name="annualized_rate_per_1m"/>
    <tableColumn id="7" name="unarmed_count_2015_2024"/>
    <tableColumn id="8" name="mental_illness_related_count_2015_2024"/>
    <tableColumn id="9" name="rank_by_annualized_rate_per_1m"/>
  </tableColumns>
  <tableStyleInfo name="TableStyleMedium2" showRowStripes="1"/>
</table>
</file>

<file path=xl/tables/table5.xml><?xml version="1.0" encoding="utf-8"?>
<table xmlns="http://schemas.openxmlformats.org/spreadsheetml/2006/main" id="5" name="StateYearRates" displayName="StateYearRates" ref="A1:T511" headerRowCount="1">
  <tableColumns count="20">
    <tableColumn id="1" name="year"/>
    <tableColumn id="2" name="state_abbr"/>
    <tableColumn id="3" name="state_fips"/>
    <tableColumn id="4" name="state_name"/>
    <tableColumn id="5" name="fatal_shootings"/>
    <tableColumn id="6" name="population"/>
    <tableColumn id="7" name="fatal_shootings_per_100k"/>
    <tableColumn id="8" name="fatal_shootings_per_1m"/>
    <tableColumn id="9" name="unarmed_count"/>
    <tableColumn id="10" name="unarmed_per_1m"/>
    <tableColumn id="11" name="armed_with_gun_count"/>
    <tableColumn id="12" name="armed_with_gun_per_1m"/>
    <tableColumn id="13" name="mental_illness_related_count"/>
    <tableColumn id="14" name="mental_illness_related_per_1m"/>
    <tableColumn id="15" name="body_camera_count"/>
    <tableColumn id="16" name="body_camera_per_1m"/>
    <tableColumn id="17" name="race_known_count"/>
    <tableColumn id="18" name="race_missing_count"/>
    <tableColumn id="19" name="population_source_vintage"/>
    <tableColumn id="20" name="population_source_url"/>
  </tableColumns>
  <tableStyleInfo name="TableStyleMedium2" showRowStripes="1"/>
</table>
</file>

<file path=xl/tables/table6.xml><?xml version="1.0" encoding="utf-8"?>
<table xmlns="http://schemas.openxmlformats.org/spreadsheetml/2006/main" id="6" name="ModelEvaluation" displayName="ModelEvaluation" ref="A1:M8" headerRowCount="1">
  <tableColumns count="13">
    <tableColumn id="1" name="model"/>
    <tableColumn id="2" name="train_years"/>
    <tableColumn id="3" name="test_years"/>
    <tableColumn id="4" name="n_train_rows"/>
    <tableColumn id="5" name="n_test_rows"/>
    <tableColumn id="6" name="count_mae"/>
    <tableColumn id="7" name="count_rmse"/>
    <tableColumn id="8" name="rate_mae_per_1m"/>
    <tableColumn id="9" name="national_total_error"/>
    <tableColumn id="10" name="actual_holdout_total"/>
    <tableColumn id="11" name="predicted_holdout_total"/>
    <tableColumn id="12" name="mean_predicted_count"/>
    <tableColumn id="13" name="mean_actual_count"/>
  </tableColumns>
  <tableStyleInfo name="TableStyleMedium2" showRowStripes="1"/>
</table>
</file>

<file path=xl/tables/table7.xml><?xml version="1.0" encoding="utf-8"?>
<table xmlns="http://schemas.openxmlformats.org/spreadsheetml/2006/main" id="7" name="Forecast2025" displayName="Forecast2025" ref="A1:W52" headerRowCount="1">
  <tableColumns count="23">
    <tableColumn id="1" name="state_abbr"/>
    <tableColumn id="2" name="state_name"/>
    <tableColumn id="3" name="region"/>
    <tableColumn id="4" name="division"/>
    <tableColumn id="5" name="year"/>
    <tableColumn id="6" name="population"/>
    <tableColumn id="7" name="prior_2024_count"/>
    <tableColumn id="8" name="prior_3yr_avg_count"/>
    <tableColumn id="9" name="prior_3yr_avg_rate_per_1m"/>
    <tableColumn id="10" name="forecast_ridge_enhanced_lagged"/>
    <tableColumn id="11" name="forecast_rate_per_1m_ridge_enhanced_lagged"/>
    <tableColumn id="12" name="forecast_poisson_enhanced_lagged"/>
    <tableColumn id="13" name="forecast_rate_per_1m_poisson_enhanced_lagged"/>
    <tableColumn id="14" name="forecast_random_forest_enhanced_lagged"/>
    <tableColumn id="15" name="forecast_rate_per_1m_random_forest_enhanced_lagged"/>
    <tableColumn id="16" name="forecast_lag1_baseline"/>
    <tableColumn id="17" name="forecast_rate_per_1m_lag1_baseline"/>
    <tableColumn id="18" name="forecast_roll3_baseline"/>
    <tableColumn id="19" name="forecast_rate_per_1m_roll3_baseline"/>
    <tableColumn id="20" name="forecast_prev_national_rate_baseline"/>
    <tableColumn id="21" name="forecast_rate_per_1m_prev_national_rate_baseline"/>
    <tableColumn id="22" name="forecast_ensemble_top4_holdout_mae"/>
    <tableColumn id="23" name="forecast_rate_per_1m_ensemble_top4_holdout_mae"/>
  </tableColumns>
  <tableStyleInfo name="TableStyleMedium2" showRowStripes="1"/>
</table>
</file>

<file path=xl/tables/table8.xml><?xml version="1.0" encoding="utf-8"?>
<table xmlns="http://schemas.openxmlformats.org/spreadsheetml/2006/main" id="8" name="StatisticalTests" displayName="StatisticalTests" ref="A1:P22" headerRowCount="1">
  <tableColumns count="16">
    <tableColumn id="1" name="test_id"/>
    <tableColumn id="2" name="family"/>
    <tableColumn id="3" name="question"/>
    <tableColumn id="4" name="method"/>
    <tableColumn id="5" name="n"/>
    <tableColumn id="6" name="df"/>
    <tableColumn id="7" name="statistic"/>
    <tableColumn id="8" name="p_value"/>
    <tableColumn id="9" name="p_value_bh_fdr"/>
    <tableColumn id="10" name="effect_label"/>
    <tableColumn id="11" name="effect"/>
    <tableColumn id="12" name="direction"/>
    <tableColumn id="13" name="conclusion"/>
    <tableColumn id="14" name="caution"/>
    <tableColumn id="15" name="significant_0_05_raw"/>
    <tableColumn id="16" name="significant_0_05_bh_fdr"/>
  </tableColumns>
  <tableStyleInfo name="TableStyleMedium2" showRowStripes="1"/>
</table>
</file>

<file path=xl/tables/table9.xml><?xml version="1.0" encoding="utf-8"?>
<table xmlns="http://schemas.openxmlformats.org/spreadsheetml/2006/main" id="9" name="RegionSummary" displayName="RegionSummary" ref="A1:D5" headerRowCount="1">
  <tableColumns count="4">
    <tableColumn id="1" name="region"/>
    <tableColumn id="2" name="n_states"/>
    <tableColumn id="3" name="median_rate"/>
    <tableColumn id="4" name="mean_rate"/>
  </tableColumns>
  <tableStyleInfo name="TableStyleMedium2" showRowStripes="1"/>
</table>
</file>

<file path=xl/tables/table10.xml><?xml version="1.0" encoding="utf-8"?>
<table xmlns="http://schemas.openxmlformats.org/spreadsheetml/2006/main" id="10" name="PairwiseModelTests" displayName="PairwiseModelTests" ref="A1:M7" headerRowCount="1">
  <tableColumns count="13">
    <tableColumn id="1" name="best_model"/>
    <tableColumn id="2" name="comparison_model"/>
    <tableColumn id="3" name="n"/>
    <tableColumn id="4" name="best_mae"/>
    <tableColumn id="5" name="comparison_mae"/>
    <tableColumn id="6" name="mae_difference_best_minus_comparison"/>
    <tableColumn id="7" name="median_abs_error_difference"/>
    <tableColumn id="8" name="wilcoxon_statistic"/>
    <tableColumn id="9" name="wilcoxon_p_value"/>
    <tableColumn id="10" name="paired_t_statistic"/>
    <tableColumn id="11" name="paired_t_p_value"/>
    <tableColumn id="12" name="interpretation"/>
    <tableColumn id="13" name="wilcoxon_p_bh_fdr"/>
  </tableColumns>
  <tableStyleInfo name="TableStyleMedium2" showRowStripes="1"/>
</table>
</file>

<file path=xl/tables/table11.xml><?xml version="1.0" encoding="utf-8"?>
<table xmlns="http://schemas.openxmlformats.org/spreadsheetml/2006/main" id="11" name="StateResiduals" displayName="StateResiduals" ref="A1:K52" headerRowCount="1">
  <tableColumns count="11">
    <tableColumn id="1" name="state_abbr"/>
    <tableColumn id="2" name="state_name"/>
    <tableColumn id="3" name="fatal_shootings"/>
    <tableColumn id="4" name="exposure_population"/>
    <tableColumn id="5" name="annualized_rate_per_1m"/>
    <tableColumn id="6" name="expected_if_national_rate"/>
    <tableColumn id="7" name="std_residual"/>
    <tableColumn id="8" name="annualized_fatal_shootings_per_1m"/>
    <tableColumn id="9" name="rank_by_annualized_rate_per_1m"/>
    <tableColumn id="10" name="unarmed_count_2015_2024"/>
    <tableColumn id="11" name="annualized_unarmed_per_1m"/>
  </tableColumns>
  <tableStyleInfo name="TableStyleMedium2" showRowStripes="1"/>
</table>
</file>

<file path=xl/tables/table12.xml><?xml version="1.0" encoding="utf-8"?>
<table xmlns="http://schemas.openxmlformats.org/spreadsheetml/2006/main" id="12" name="SourcesTable" displayName="SourcesTable" ref="A1:C8" headerRowCount="1">
  <tableColumns count="3">
    <tableColumn id="1" name="Source / Artifact"/>
    <tableColumn id="2" name="Plain-text URL or local artifact path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</cols>
  <sheetData>
    <row r="1" ht="18" customHeight="1" s="16">
      <c r="A1" s="128" t="inlineStr">
        <is>
          <t>Fatal Police Shootings in the U.S., 2015–2024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</row>
    <row r="2" ht="18" customHeight="1" s="16">
      <c r="A2" s="130" t="inlineStr">
        <is>
          <t>Excel dashboard using Washington Post Fatal Force data, Census population denominators, prediction outputs, and statistical tests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</row>
    <row r="3" ht="18" customHeight="1" s="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</row>
    <row r="4" ht="18" customHeight="1" s="16">
      <c r="A4" s="131" t="inlineStr">
        <is>
          <t>Total fatal shootings</t>
        </is>
      </c>
      <c r="B4" s="17" t="n"/>
      <c r="C4" s="17" t="n"/>
      <c r="D4" s="17" t="n"/>
      <c r="E4" s="131" t="inlineStr">
        <is>
          <t>Average annual count</t>
        </is>
      </c>
      <c r="F4" s="17" t="n"/>
      <c r="G4" s="17" t="n"/>
      <c r="H4" s="17" t="n"/>
      <c r="I4" s="131" t="inlineStr">
        <is>
          <t>2024 rate per 1M</t>
        </is>
      </c>
      <c r="J4" s="17" t="n"/>
      <c r="K4" s="17" t="n"/>
      <c r="L4" s="17" t="n"/>
      <c r="M4" s="131" t="inlineStr">
        <is>
          <t>Best model holdout MAE</t>
        </is>
      </c>
      <c r="N4" s="17" t="n"/>
      <c r="O4" s="17" t="n"/>
      <c r="P4" s="17" t="n"/>
      <c r="Q4" s="17" t="n"/>
    </row>
    <row r="5" ht="18" customHeight="1" s="16">
      <c r="A5" s="164">
        <f>SUM(National!$B$2:$B$11)</f>
        <v/>
      </c>
      <c r="B5" s="17" t="n"/>
      <c r="C5" s="17" t="n"/>
      <c r="D5" s="17" t="n"/>
      <c r="E5" s="164">
        <f>AVERAGE(National!$B$2:$B$11)</f>
        <v/>
      </c>
      <c r="F5" s="17" t="n"/>
      <c r="G5" s="17" t="n"/>
      <c r="H5" s="17" t="n"/>
      <c r="I5" s="165">
        <f>INDEX(National!$E$2:$E$11,MATCH(2024,National!$A$2:$A$11,0))</f>
        <v/>
      </c>
      <c r="J5" s="17" t="n"/>
      <c r="K5" s="17" t="n"/>
      <c r="L5" s="17" t="n"/>
      <c r="M5" s="165">
        <f>MIN(ModelEval!$F$2:$F$8)</f>
        <v/>
      </c>
      <c r="N5" s="17" t="n"/>
      <c r="O5" s="17" t="n"/>
      <c r="P5" s="17" t="n"/>
      <c r="Q5" s="17" t="n"/>
    </row>
    <row r="6" ht="18" customHeight="1" s="16">
      <c r="A6" s="17" t="n"/>
      <c r="D6" s="17" t="n"/>
      <c r="E6" s="17" t="n"/>
      <c r="H6" s="17" t="n"/>
      <c r="I6" s="17" t="n"/>
      <c r="L6" s="17" t="n"/>
      <c r="M6" s="17" t="n"/>
      <c r="Q6" s="17" t="n"/>
    </row>
    <row r="7" ht="18" customHeight="1" s="16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</row>
    <row r="8" ht="18" customHeight="1" s="16">
      <c r="A8" s="134" t="inlineStr">
        <is>
          <t>State focus</t>
        </is>
      </c>
      <c r="B8" s="17" t="n"/>
      <c r="C8" s="135" t="inlineStr">
        <is>
          <t>New Mexico</t>
        </is>
      </c>
      <c r="D8" s="17" t="n"/>
      <c r="E8" s="17" t="n"/>
      <c r="F8" s="136">
        <f>"Rank "&amp;INDEX(StateRates!$I$2:$I$52,MATCH($C$8,StateRates!$C$2:$C$52,0))&amp;" | Rate "&amp;TEXT(INDEX(StateRates!$F$2:$F$52,MATCH($C$8,StateRates!$C$2:$C$52,0)),"0.00")&amp;" /1M | Total "&amp;TEXT(INDEX(StateRates!$D$2:$D$52,MATCH($C$8,StateRates!$C$2:$C$52,0)),"#,##0")</f>
        <v/>
      </c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</row>
    <row r="9" ht="18" customHeight="1" s="16">
      <c r="A9" s="137" t="inlineStr">
        <is>
          <t>Use the dropdown above to highlight a state in the KPI ribbon; charts are static dashboard visuals generated from the supporting tables.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</row>
    <row r="10" ht="18" customHeight="1" s="16">
      <c r="A10" s="134" t="inlineStr">
        <is>
          <t>National Rate Trend</t>
        </is>
      </c>
      <c r="B10" s="17" t="n"/>
      <c r="C10" s="17" t="n"/>
      <c r="D10" s="17" t="n"/>
      <c r="E10" s="17" t="n"/>
      <c r="F10" s="17" t="n"/>
      <c r="G10" s="17" t="n"/>
      <c r="H10" s="17" t="n"/>
      <c r="I10" s="119" t="n"/>
      <c r="J10" s="134" t="inlineStr">
        <is>
          <t>Top State Rates</t>
        </is>
      </c>
      <c r="K10" s="17" t="n"/>
      <c r="L10" s="17" t="n"/>
      <c r="M10" s="17" t="n"/>
      <c r="N10" s="17" t="n"/>
      <c r="O10" s="17" t="n"/>
      <c r="P10" s="17" t="n"/>
      <c r="Q10" s="17" t="n"/>
    </row>
    <row r="11" ht="18" customHeight="1" s="16">
      <c r="A11" s="119" t="n"/>
      <c r="B11" s="119" t="n"/>
      <c r="C11" s="119" t="n"/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</row>
    <row r="12" ht="18" customHeight="1" s="16">
      <c r="A12" s="119" t="n"/>
      <c r="B12" s="119" t="n"/>
      <c r="C12" s="119" t="n"/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</row>
    <row r="13" ht="18" customHeight="1" s="16">
      <c r="A13" s="119" t="n"/>
      <c r="B13" s="119" t="n"/>
      <c r="C13" s="119" t="n"/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 t="n"/>
      <c r="P13" s="119" t="n"/>
      <c r="Q13" s="119" t="n"/>
    </row>
    <row r="14" ht="18" customHeight="1" s="16">
      <c r="A14" s="119" t="n"/>
      <c r="B14" s="119" t="n"/>
      <c r="C14" s="119" t="n"/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</row>
    <row r="15" ht="18" customHeight="1" s="16">
      <c r="A15" s="119" t="n"/>
      <c r="B15" s="119" t="n"/>
      <c r="C15" s="119" t="n"/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/>
      <c r="Q15" s="119" t="n"/>
    </row>
    <row r="16" ht="18" customHeight="1" s="16">
      <c r="A16" s="119" t="n"/>
      <c r="B16" s="119" t="n"/>
      <c r="C16" s="119" t="n"/>
      <c r="D16" s="119" t="n"/>
      <c r="E16" s="119" t="n"/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O16" s="119" t="n"/>
      <c r="P16" s="119" t="n"/>
      <c r="Q16" s="119" t="n"/>
    </row>
    <row r="17" ht="18" customHeight="1" s="16">
      <c r="A17" s="119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/>
      <c r="Q17" s="119" t="n"/>
    </row>
    <row r="18" ht="18" customHeight="1" s="16">
      <c r="A18" s="119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</row>
    <row r="19" ht="18" customHeight="1" s="16">
      <c r="A19" s="119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O19" s="119" t="n"/>
      <c r="P19" s="119" t="n"/>
      <c r="Q19" s="119" t="n"/>
    </row>
    <row r="20" ht="18" customHeight="1" s="16">
      <c r="A20" s="119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/>
      <c r="Q20" s="119" t="n"/>
    </row>
    <row r="21" ht="18" customHeight="1" s="16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/>
      <c r="Q21" s="119" t="n"/>
    </row>
    <row r="22" ht="18" customHeight="1" s="16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 t="n"/>
      <c r="P22" s="119" t="n"/>
      <c r="Q22" s="119" t="n"/>
    </row>
    <row r="23" ht="18" customHeight="1" s="16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/>
      <c r="Q23" s="119" t="n"/>
    </row>
    <row r="24" ht="18" customHeight="1" s="16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 t="n"/>
      <c r="P24" s="119" t="n"/>
      <c r="Q24" s="119" t="n"/>
    </row>
    <row r="25" ht="18" customHeight="1" s="16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 t="n"/>
      <c r="P25" s="119" t="n"/>
      <c r="Q25" s="119" t="n"/>
    </row>
    <row r="26" ht="18" customHeight="1" s="1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/>
      <c r="Q26" s="119" t="n"/>
    </row>
    <row r="27" ht="18" customHeight="1" s="16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/>
      <c r="Q27" s="119" t="n"/>
    </row>
    <row r="28" ht="18" customHeight="1" s="16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 t="n"/>
      <c r="P28" s="119" t="n"/>
      <c r="Q28" s="119" t="n"/>
    </row>
    <row r="29" ht="18" customHeight="1" s="16">
      <c r="A29" s="134" t="inlineStr">
        <is>
          <t>Regional Pattern</t>
        </is>
      </c>
      <c r="B29" s="17" t="n"/>
      <c r="C29" s="17" t="n"/>
      <c r="D29" s="17" t="n"/>
      <c r="E29" s="17" t="n"/>
      <c r="F29" s="17" t="n"/>
      <c r="G29" s="17" t="n"/>
      <c r="H29" s="17" t="n"/>
      <c r="I29" s="119" t="n"/>
      <c r="J29" s="134" t="inlineStr">
        <is>
          <t>Model Fit Snapshot</t>
        </is>
      </c>
      <c r="K29" s="17" t="n"/>
      <c r="L29" s="17" t="n"/>
      <c r="M29" s="17" t="n"/>
      <c r="N29" s="17" t="n"/>
      <c r="O29" s="17" t="n"/>
      <c r="P29" s="17" t="n"/>
      <c r="Q29" s="17" t="n"/>
    </row>
    <row r="30" ht="18" customHeight="1" s="16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/>
      <c r="Q30" s="119" t="n"/>
    </row>
    <row r="31" ht="18" customHeight="1" s="16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 t="n"/>
      <c r="P31" s="119" t="n"/>
      <c r="Q31" s="119" t="n"/>
    </row>
    <row r="32" ht="18" customHeight="1" s="16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/>
      <c r="Q32" s="119" t="n"/>
    </row>
    <row r="33" ht="18" customHeight="1" s="16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/>
      <c r="Q33" s="119" t="n"/>
    </row>
    <row r="34" ht="18" customHeight="1" s="16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 t="n"/>
      <c r="P34" s="119" t="n"/>
      <c r="Q34" s="119" t="n"/>
    </row>
    <row r="35" ht="18" customHeight="1" s="16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/>
      <c r="Q35" s="119" t="n"/>
    </row>
    <row r="36" ht="18" customHeight="1" s="1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/>
      <c r="Q36" s="119" t="n"/>
    </row>
    <row r="37" ht="18" customHeight="1" s="16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19" t="n"/>
      <c r="Q37" s="119" t="n"/>
    </row>
    <row r="38" ht="18" customHeight="1" s="16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/>
      <c r="Q38" s="119" t="n"/>
    </row>
    <row r="39" ht="18" customHeight="1" s="16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</row>
    <row r="40" ht="18" customHeight="1" s="16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 t="n"/>
      <c r="P40" s="119" t="n"/>
      <c r="Q40" s="119" t="n"/>
    </row>
    <row r="41" ht="18" customHeight="1" s="16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/>
      <c r="Q41" s="119" t="n"/>
    </row>
    <row r="42" ht="18" customHeight="1" s="16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/>
      <c r="Q42" s="119" t="n"/>
    </row>
    <row r="43" ht="18" customHeight="1" s="16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 t="n"/>
      <c r="P43" s="119" t="n"/>
      <c r="Q43" s="119" t="n"/>
    </row>
    <row r="44" ht="18" customHeight="1" s="16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/>
      <c r="Q44" s="119" t="n"/>
    </row>
    <row r="45" ht="18" customHeight="1" s="16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/>
      <c r="Q45" s="119" t="n"/>
    </row>
    <row r="46" ht="18" customHeight="1" s="1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 t="n"/>
      <c r="P46" s="119" t="n"/>
      <c r="Q46" s="119" t="n"/>
    </row>
    <row r="47" ht="18" customHeight="1" s="16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/>
      <c r="Q47" s="119" t="n"/>
    </row>
    <row r="48" ht="18" customHeight="1" s="16">
      <c r="A48" s="117" t="inlineStr">
        <is>
          <t>Dashboard reading notes: the national rate trend is upward in the simple time series, but state-level variation is the stronger story. Population adjustment pushes the analysis away from raw-count dominance by large states and toward states with unusually high or low rates. The ensemble forecasting model performs reasonably but still struggles with high-count state-years; stronger explanatory variables such as calls for service, arrests, crime rates, rurality, and agency staffing would improve future modeling.</t>
        </is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</row>
    <row r="49" ht="18" customHeight="1" s="16">
      <c r="A49" s="17" t="n"/>
      <c r="Q49" s="17" t="n"/>
    </row>
    <row r="50" ht="18" customHeight="1" s="16">
      <c r="A50" s="17" t="n"/>
      <c r="Q50" s="17" t="n"/>
    </row>
    <row r="51" ht="18" customHeight="1" s="16">
      <c r="A51" s="17" t="n"/>
      <c r="Q51" s="17" t="n"/>
    </row>
    <row r="52" ht="18" customHeight="1" s="16">
      <c r="A52" s="17" t="n"/>
      <c r="Q52" s="17" t="n"/>
    </row>
    <row r="53" ht="18" customHeight="1" s="16">
      <c r="A53" s="17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</row>
    <row r="54" ht="18" customHeight="1" s="16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/>
      <c r="Q54" s="119" t="n"/>
    </row>
    <row r="55" ht="18" customHeight="1" s="16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 t="n"/>
      <c r="P55" s="119" t="n"/>
      <c r="Q55" s="119" t="n"/>
    </row>
    <row r="56" ht="18" customHeight="1" s="1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</row>
    <row r="57" ht="18" customHeight="1" s="16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</row>
    <row r="58" ht="18" customHeight="1" s="16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 t="n"/>
      <c r="P58" s="119" t="n"/>
      <c r="Q58" s="119" t="n"/>
    </row>
    <row r="59" ht="18" customHeight="1" s="16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/>
      <c r="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/>
      <c r="Q60" s="119" t="n"/>
    </row>
  </sheetData>
  <mergeCells count="19">
    <mergeCell ref="I5:L7"/>
    <mergeCell ref="A9:Q9"/>
    <mergeCell ref="A4:D4"/>
    <mergeCell ref="J29:Q29"/>
    <mergeCell ref="I4:L4"/>
    <mergeCell ref="F8:Q8"/>
    <mergeCell ref="J10:Q10"/>
    <mergeCell ref="A5:D7"/>
    <mergeCell ref="A1:Q1"/>
    <mergeCell ref="M5:Q7"/>
    <mergeCell ref="C8:E8"/>
    <mergeCell ref="E4:H4"/>
    <mergeCell ref="A2:Q2"/>
    <mergeCell ref="E5:H7"/>
    <mergeCell ref="A8:B8"/>
    <mergeCell ref="A29:H29"/>
    <mergeCell ref="A48:Q53"/>
    <mergeCell ref="A10:H10"/>
    <mergeCell ref="M4:Q4"/>
  </mergeCells>
  <dataValidations count="1">
    <dataValidation sqref="C8" showDropDown="0" showInputMessage="0" showErrorMessage="0" allowBlank="0" type="list">
      <formula1>StateRates!$C$2:$C$52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</cols>
  <sheetData>
    <row r="1" ht="18" customHeight="1" s="16">
      <c r="A1" s="128" t="inlineStr">
        <is>
          <t>State Patterns &amp; Population-Adjusted Residuals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</row>
    <row r="2" ht="18" customHeight="1" s="16">
      <c r="A2" s="130" t="inlineStr">
        <is>
          <t>Where observed fatal shooting totals exceed or fall below what population alone would predict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</row>
    <row r="3" ht="18" customHeight="1" s="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</row>
    <row r="4" ht="18" customHeight="1" s="16">
      <c r="A4" s="134" t="inlineStr">
        <is>
          <t>Observed vs Expected by State</t>
        </is>
      </c>
      <c r="B4" s="17" t="n"/>
      <c r="C4" s="17" t="n"/>
      <c r="D4" s="17" t="n"/>
      <c r="E4" s="17" t="n"/>
      <c r="F4" s="17" t="n"/>
      <c r="G4" s="17" t="n"/>
      <c r="H4" s="17" t="n"/>
      <c r="I4" s="119" t="n"/>
      <c r="J4" s="134" t="inlineStr">
        <is>
          <t>Overall Rate vs Unarmed Rate</t>
        </is>
      </c>
      <c r="K4" s="17" t="n"/>
      <c r="L4" s="17" t="n"/>
      <c r="M4" s="17" t="n"/>
      <c r="N4" s="17" t="n"/>
      <c r="O4" s="17" t="n"/>
      <c r="P4" s="17" t="n"/>
      <c r="Q4" s="17" t="n"/>
    </row>
    <row r="5" ht="18" customHeight="1" s="16">
      <c r="A5" s="119" t="n"/>
      <c r="B5" s="119" t="n"/>
      <c r="C5" s="119" t="n"/>
      <c r="D5" s="119" t="n"/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19" t="n"/>
      <c r="Q5" s="119" t="n"/>
    </row>
    <row r="6" ht="18" customHeight="1" s="16">
      <c r="A6" s="119" t="n"/>
      <c r="B6" s="119" t="n"/>
      <c r="C6" s="119" t="n"/>
      <c r="D6" s="119" t="n"/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n"/>
    </row>
    <row r="7" ht="18" customHeight="1" s="16">
      <c r="A7" s="119" t="n"/>
      <c r="B7" s="119" t="n"/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19" t="n"/>
    </row>
    <row r="8" ht="18" customHeight="1" s="16">
      <c r="A8" s="119" t="n"/>
      <c r="B8" s="119" t="n"/>
      <c r="C8" s="119" t="n"/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</row>
    <row r="9" ht="18" customHeight="1" s="16">
      <c r="A9" s="119" t="n"/>
      <c r="B9" s="119" t="n"/>
      <c r="C9" s="119" t="n"/>
      <c r="D9" s="119" t="n"/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/>
      <c r="Q9" s="119" t="n"/>
    </row>
    <row r="10" ht="18" customHeight="1" s="16">
      <c r="A10" s="119" t="n"/>
      <c r="B10" s="119" t="n"/>
      <c r="C10" s="119" t="n"/>
      <c r="D10" s="119" t="n"/>
      <c r="E10" s="119" t="n"/>
      <c r="F10" s="119" t="n"/>
      <c r="G10" s="119" t="n"/>
      <c r="H10" s="119" t="n"/>
      <c r="I10" s="119" t="n"/>
      <c r="J10" s="119" t="n"/>
      <c r="K10" s="119" t="n"/>
      <c r="L10" s="119" t="n"/>
      <c r="M10" s="119" t="n"/>
      <c r="N10" s="119" t="n"/>
      <c r="O10" s="119" t="n"/>
      <c r="P10" s="119" t="n"/>
      <c r="Q10" s="119" t="n"/>
    </row>
    <row r="11" ht="18" customHeight="1" s="16">
      <c r="A11" s="119" t="n"/>
      <c r="B11" s="119" t="n"/>
      <c r="C11" s="119" t="n"/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</row>
    <row r="12" ht="18" customHeight="1" s="16">
      <c r="A12" s="119" t="n"/>
      <c r="B12" s="119" t="n"/>
      <c r="C12" s="119" t="n"/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</row>
    <row r="13" ht="18" customHeight="1" s="16">
      <c r="A13" s="119" t="n"/>
      <c r="B13" s="119" t="n"/>
      <c r="C13" s="119" t="n"/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 t="n"/>
      <c r="P13" s="119" t="n"/>
      <c r="Q13" s="119" t="n"/>
    </row>
    <row r="14" ht="18" customHeight="1" s="16">
      <c r="A14" s="119" t="n"/>
      <c r="B14" s="119" t="n"/>
      <c r="C14" s="119" t="n"/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</row>
    <row r="15" ht="18" customHeight="1" s="16">
      <c r="A15" s="119" t="n"/>
      <c r="B15" s="119" t="n"/>
      <c r="C15" s="119" t="n"/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/>
      <c r="Q15" s="119" t="n"/>
    </row>
    <row r="16" ht="18" customHeight="1" s="16">
      <c r="A16" s="119" t="n"/>
      <c r="B16" s="119" t="n"/>
      <c r="C16" s="119" t="n"/>
      <c r="D16" s="119" t="n"/>
      <c r="E16" s="119" t="n"/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O16" s="119" t="n"/>
      <c r="P16" s="119" t="n"/>
      <c r="Q16" s="119" t="n"/>
    </row>
    <row r="17" ht="18" customHeight="1" s="16">
      <c r="A17" s="119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/>
      <c r="Q17" s="119" t="n"/>
    </row>
    <row r="18" ht="18" customHeight="1" s="16">
      <c r="A18" s="119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</row>
    <row r="19" ht="18" customHeight="1" s="16">
      <c r="A19" s="119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O19" s="119" t="n"/>
      <c r="P19" s="119" t="n"/>
      <c r="Q19" s="119" t="n"/>
    </row>
    <row r="20" ht="18" customHeight="1" s="16">
      <c r="A20" s="119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/>
      <c r="Q20" s="119" t="n"/>
    </row>
    <row r="21" ht="18" customHeight="1" s="16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/>
      <c r="Q21" s="119" t="n"/>
    </row>
    <row r="22" ht="18" customHeight="1" s="16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 t="n"/>
      <c r="P22" s="119" t="n"/>
      <c r="Q22" s="119" t="n"/>
    </row>
    <row r="23" ht="18" customHeight="1" s="16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/>
      <c r="Q23" s="119" t="n"/>
    </row>
    <row r="24" ht="18" customHeight="1" s="16">
      <c r="A24" s="134" t="inlineStr">
        <is>
          <t>Largest State Residuals</t>
        </is>
      </c>
      <c r="B24" s="17" t="n"/>
      <c r="C24" s="17" t="n"/>
      <c r="D24" s="17" t="n"/>
      <c r="E24" s="17" t="n"/>
      <c r="F24" s="17" t="n"/>
      <c r="G24" s="17" t="n"/>
      <c r="H24" s="17" t="n"/>
      <c r="I24" s="119" t="n"/>
      <c r="J24" s="134" t="inlineStr">
        <is>
          <t>Regional Median Rates</t>
        </is>
      </c>
      <c r="K24" s="17" t="n"/>
      <c r="L24" s="17" t="n"/>
      <c r="M24" s="17" t="n"/>
      <c r="N24" s="17" t="n"/>
      <c r="O24" s="17" t="n"/>
      <c r="P24" s="17" t="n"/>
      <c r="Q24" s="17" t="n"/>
    </row>
    <row r="25" ht="18" customHeight="1" s="16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 t="n"/>
      <c r="P25" s="119" t="n"/>
      <c r="Q25" s="119" t="n"/>
    </row>
    <row r="26" ht="18" customHeight="1" s="1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/>
      <c r="Q26" s="119" t="n"/>
    </row>
    <row r="27" ht="18" customHeight="1" s="16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/>
      <c r="Q27" s="119" t="n"/>
    </row>
    <row r="28" ht="18" customHeight="1" s="16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 t="n"/>
      <c r="P28" s="119" t="n"/>
      <c r="Q28" s="119" t="n"/>
    </row>
    <row r="29" ht="18" customHeight="1" s="16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</row>
    <row r="30" ht="18" customHeight="1" s="16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/>
      <c r="Q30" s="119" t="n"/>
    </row>
    <row r="31" ht="18" customHeight="1" s="16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 t="n"/>
      <c r="P31" s="119" t="n"/>
      <c r="Q31" s="119" t="n"/>
    </row>
    <row r="32" ht="18" customHeight="1" s="16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/>
      <c r="Q32" s="119" t="n"/>
    </row>
    <row r="33" ht="18" customHeight="1" s="16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/>
      <c r="Q33" s="119" t="n"/>
    </row>
    <row r="34" ht="18" customHeight="1" s="16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 t="n"/>
      <c r="P34" s="119" t="n"/>
      <c r="Q34" s="119" t="n"/>
    </row>
    <row r="35" ht="18" customHeight="1" s="16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/>
      <c r="Q35" s="119" t="n"/>
    </row>
    <row r="36" ht="18" customHeight="1" s="1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/>
      <c r="Q36" s="119" t="n"/>
    </row>
    <row r="37" ht="18" customHeight="1" s="16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19" t="n"/>
      <c r="Q37" s="119" t="n"/>
    </row>
    <row r="38" ht="18" customHeight="1" s="16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/>
      <c r="Q38" s="119" t="n"/>
    </row>
    <row r="39" ht="18" customHeight="1" s="16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</row>
    <row r="40" ht="18" customHeight="1" s="16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 t="n"/>
      <c r="P40" s="119" t="n"/>
      <c r="Q40" s="119" t="n"/>
    </row>
    <row r="41" ht="18" customHeight="1" s="16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/>
      <c r="Q41" s="119" t="n"/>
    </row>
    <row r="42" ht="18" customHeight="1" s="16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/>
      <c r="Q42" s="119" t="n"/>
    </row>
    <row r="43" ht="18" customHeight="1" s="16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 t="n"/>
      <c r="P43" s="119" t="n"/>
      <c r="Q43" s="119" t="n"/>
    </row>
    <row r="44" ht="18" customHeight="1" s="16">
      <c r="A44" s="138" t="inlineStr">
        <is>
          <t>Rank</t>
        </is>
      </c>
      <c r="B44" s="138" t="inlineStr">
        <is>
          <t>State</t>
        </is>
      </c>
      <c r="C44" s="138" t="inlineStr">
        <is>
          <t>Fatal shootings</t>
        </is>
      </c>
      <c r="D44" s="138" t="inlineStr">
        <is>
          <t>Avg population</t>
        </is>
      </c>
      <c r="E44" s="138" t="inlineStr">
        <is>
          <t>Annualized rate per 1M</t>
        </is>
      </c>
      <c r="F44" s="138" t="inlineStr">
        <is>
          <t>Unarmed count</t>
        </is>
      </c>
      <c r="G44" s="138" t="inlineStr">
        <is>
          <t>Mental-illness related count</t>
        </is>
      </c>
      <c r="H44" s="119" t="n"/>
      <c r="I44" s="117" t="inlineStr">
        <is>
          <t>Interpretation: New Mexico, Alaska, Oklahoma, Colorado, and Arizona are high-rate states after population adjustment. This does not prove causality; it tells us where to focus the next layer of explanatory variables.</t>
        </is>
      </c>
      <c r="J44" s="17" t="n"/>
      <c r="K44" s="17" t="n"/>
      <c r="L44" s="17" t="n"/>
      <c r="M44" s="17" t="n"/>
      <c r="N44" s="17" t="n"/>
      <c r="O44" s="17" t="n"/>
      <c r="P44" s="17" t="n"/>
      <c r="Q44" s="17" t="n"/>
    </row>
    <row r="45" ht="18" customHeight="1" s="16">
      <c r="A45" s="166" t="n">
        <v>1</v>
      </c>
      <c r="B45" s="166" t="inlineStr">
        <is>
          <t>New Mexico</t>
        </is>
      </c>
      <c r="C45" s="166" t="n">
        <v>219</v>
      </c>
      <c r="D45" s="166" t="n">
        <v>2105700</v>
      </c>
      <c r="E45" s="167" t="n">
        <v>10.4003</v>
      </c>
      <c r="F45" s="166" t="n">
        <v>12</v>
      </c>
      <c r="G45" s="166" t="n">
        <v>35</v>
      </c>
      <c r="H45" s="119" t="n"/>
      <c r="I45" s="17" t="n"/>
      <c r="Q45" s="17" t="n"/>
    </row>
    <row r="46" ht="18" customHeight="1" s="16">
      <c r="A46" s="166" t="n">
        <v>2</v>
      </c>
      <c r="B46" s="166" t="inlineStr">
        <is>
          <t>Alaska</t>
        </is>
      </c>
      <c r="C46" s="166" t="n">
        <v>69</v>
      </c>
      <c r="D46" s="166" t="n">
        <v>735768</v>
      </c>
      <c r="E46" s="167" t="n">
        <v>9.378</v>
      </c>
      <c r="F46" s="166" t="n">
        <v>4</v>
      </c>
      <c r="G46" s="166" t="n">
        <v>10</v>
      </c>
      <c r="H46" s="119" t="n"/>
      <c r="I46" s="17" t="n"/>
      <c r="Q46" s="17" t="n"/>
    </row>
    <row r="47" ht="18" customHeight="1" s="16">
      <c r="A47" s="166" t="n">
        <v>3</v>
      </c>
      <c r="B47" s="166" t="inlineStr">
        <is>
          <t>Oklahoma</t>
        </is>
      </c>
      <c r="C47" s="166" t="n">
        <v>266</v>
      </c>
      <c r="D47" s="166" t="n">
        <v>3980816</v>
      </c>
      <c r="E47" s="167" t="n">
        <v>6.682</v>
      </c>
      <c r="F47" s="166" t="n">
        <v>20</v>
      </c>
      <c r="G47" s="166" t="n">
        <v>51</v>
      </c>
      <c r="H47" s="119" t="n"/>
      <c r="I47" s="17" t="n"/>
      <c r="Q47" s="17" t="n"/>
    </row>
    <row r="48" ht="18" customHeight="1" s="16">
      <c r="A48" s="166" t="n">
        <v>4</v>
      </c>
      <c r="B48" s="166" t="inlineStr">
        <is>
          <t>Colorado</t>
        </is>
      </c>
      <c r="C48" s="166" t="n">
        <v>375</v>
      </c>
      <c r="D48" s="166" t="n">
        <v>5740708</v>
      </c>
      <c r="E48" s="167" t="n">
        <v>6.5323</v>
      </c>
      <c r="F48" s="166" t="n">
        <v>17</v>
      </c>
      <c r="G48" s="166" t="n">
        <v>47</v>
      </c>
      <c r="H48" s="119" t="n"/>
      <c r="I48" s="17" t="n"/>
      <c r="Q48" s="17" t="n"/>
    </row>
    <row r="49" ht="18" customHeight="1" s="16">
      <c r="A49" s="166" t="n">
        <v>5</v>
      </c>
      <c r="B49" s="166" t="inlineStr">
        <is>
          <t>Arizona</t>
        </is>
      </c>
      <c r="C49" s="166" t="n">
        <v>461</v>
      </c>
      <c r="D49" s="166" t="n">
        <v>7209073</v>
      </c>
      <c r="E49" s="167" t="n">
        <v>6.3947</v>
      </c>
      <c r="F49" s="166" t="n">
        <v>27</v>
      </c>
      <c r="G49" s="166" t="n">
        <v>70</v>
      </c>
      <c r="H49" s="119" t="n"/>
      <c r="I49" s="17" t="n"/>
      <c r="Q49" s="17" t="n"/>
    </row>
    <row r="50" ht="18" customHeight="1" s="16">
      <c r="A50" s="166" t="n">
        <v>6</v>
      </c>
      <c r="B50" s="166" t="inlineStr">
        <is>
          <t>Montana</t>
        </is>
      </c>
      <c r="C50" s="166" t="n">
        <v>69</v>
      </c>
      <c r="D50" s="166" t="n">
        <v>1083653</v>
      </c>
      <c r="E50" s="167" t="n">
        <v>6.3674</v>
      </c>
      <c r="F50" s="166" t="n">
        <v>0</v>
      </c>
      <c r="G50" s="166" t="n">
        <v>9</v>
      </c>
      <c r="H50" s="119" t="n"/>
      <c r="I50" s="17" t="n"/>
      <c r="Q50" s="17" t="n"/>
    </row>
    <row r="51" ht="18" customHeight="1" s="16">
      <c r="A51" s="166" t="n">
        <v>7</v>
      </c>
      <c r="B51" s="166" t="inlineStr">
        <is>
          <t>Wyoming</t>
        </is>
      </c>
      <c r="C51" s="166" t="n">
        <v>36</v>
      </c>
      <c r="D51" s="166" t="n">
        <v>581558</v>
      </c>
      <c r="E51" s="167" t="n">
        <v>6.1903</v>
      </c>
      <c r="F51" s="166" t="n">
        <v>2</v>
      </c>
      <c r="G51" s="166" t="n">
        <v>6</v>
      </c>
      <c r="H51" s="119" t="n"/>
      <c r="I51" s="17" t="n"/>
      <c r="Q51" s="17" t="n"/>
    </row>
    <row r="52" ht="18" customHeight="1" s="16">
      <c r="A52" s="166" t="n">
        <v>8</v>
      </c>
      <c r="B52" s="166" t="inlineStr">
        <is>
          <t>West Virginia</t>
        </is>
      </c>
      <c r="C52" s="166" t="n">
        <v>100</v>
      </c>
      <c r="D52" s="166" t="n">
        <v>1797555</v>
      </c>
      <c r="E52" s="167" t="n">
        <v>5.5631</v>
      </c>
      <c r="F52" s="166" t="n">
        <v>3</v>
      </c>
      <c r="G52" s="166" t="n">
        <v>16</v>
      </c>
      <c r="H52" s="119" t="n"/>
      <c r="I52" s="17" t="n"/>
      <c r="Q52" s="17" t="n"/>
    </row>
    <row r="53" ht="18" customHeight="1" s="16">
      <c r="A53" s="166" t="n">
        <v>9</v>
      </c>
      <c r="B53" s="166" t="inlineStr">
        <is>
          <t>Nevada</t>
        </is>
      </c>
      <c r="C53" s="166" t="n">
        <v>171</v>
      </c>
      <c r="D53" s="166" t="n">
        <v>3076952</v>
      </c>
      <c r="E53" s="167" t="n">
        <v>5.5574</v>
      </c>
      <c r="F53" s="166" t="n">
        <v>6</v>
      </c>
      <c r="G53" s="166" t="n">
        <v>37</v>
      </c>
      <c r="H53" s="119" t="n"/>
      <c r="I53" s="17" t="n"/>
      <c r="Q53" s="17" t="n"/>
    </row>
    <row r="54" ht="18" customHeight="1" s="16">
      <c r="A54" s="166" t="n">
        <v>10</v>
      </c>
      <c r="B54" s="166" t="inlineStr">
        <is>
          <t>Idaho</t>
        </is>
      </c>
      <c r="C54" s="166" t="n">
        <v>90</v>
      </c>
      <c r="D54" s="166" t="n">
        <v>1825726</v>
      </c>
      <c r="E54" s="167" t="n">
        <v>4.9295</v>
      </c>
      <c r="F54" s="166" t="n">
        <v>2</v>
      </c>
      <c r="G54" s="166" t="n">
        <v>12</v>
      </c>
      <c r="H54" s="119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</row>
    <row r="55" ht="18" customHeight="1" s="16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 t="n"/>
      <c r="P55" s="119" t="n"/>
      <c r="Q55" s="119" t="n"/>
    </row>
    <row r="56" ht="18" customHeight="1" s="1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</row>
    <row r="57" ht="18" customHeight="1" s="16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</row>
    <row r="58" ht="18" customHeight="1" s="16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 t="n"/>
      <c r="P58" s="119" t="n"/>
      <c r="Q58" s="119" t="n"/>
    </row>
    <row r="59" ht="18" customHeight="1" s="16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/>
      <c r="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/>
      <c r="Q60" s="119" t="n"/>
    </row>
  </sheetData>
  <mergeCells count="7">
    <mergeCell ref="A4:H4"/>
    <mergeCell ref="J4:Q4"/>
    <mergeCell ref="A24:H24"/>
    <mergeCell ref="I44:Q54"/>
    <mergeCell ref="A2:Q2"/>
    <mergeCell ref="J24:Q24"/>
    <mergeCell ref="A1:Q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</cols>
  <sheetData>
    <row r="1" ht="18" customHeight="1" s="16">
      <c r="A1" s="128" t="inlineStr">
        <is>
          <t>Model Diagnostics &amp; Statistical Tests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</row>
    <row r="2" ht="18" customHeight="1" s="16">
      <c r="A2" s="130" t="inlineStr">
        <is>
          <t>Holdout performance, paired model comparisons, and test-strength summaries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</row>
    <row r="3" ht="18" customHeight="1" s="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</row>
    <row r="4" ht="18" customHeight="1" s="16">
      <c r="A4" s="131" t="inlineStr">
        <is>
          <t>Best model</t>
        </is>
      </c>
      <c r="B4" s="17" t="n"/>
      <c r="C4" s="17" t="n"/>
      <c r="D4" s="17" t="n"/>
      <c r="E4" s="131" t="inlineStr">
        <is>
          <t>Holdout MAE</t>
        </is>
      </c>
      <c r="F4" s="17" t="n"/>
      <c r="G4" s="17" t="n"/>
      <c r="H4" s="17" t="n"/>
      <c r="I4" s="131" t="inlineStr">
        <is>
          <t>2025 ensemble forecast</t>
        </is>
      </c>
      <c r="J4" s="17" t="n"/>
      <c r="K4" s="17" t="n"/>
      <c r="L4" s="17" t="n"/>
      <c r="M4" s="131" t="inlineStr">
        <is>
          <t>FDR-significant tests</t>
        </is>
      </c>
      <c r="N4" s="17" t="n"/>
      <c r="O4" s="17" t="n"/>
      <c r="P4" s="17" t="n"/>
      <c r="Q4" s="17" t="n"/>
    </row>
    <row r="5" ht="18" customHeight="1" s="16">
      <c r="A5" s="168">
        <f>INDEX(ModelEval!$A$2:$A$8,MATCH(MIN(ModelEval!$F$2:$F$8),ModelEval!$F$2:$F$8,0))</f>
        <v/>
      </c>
      <c r="B5" s="17" t="n"/>
      <c r="C5" s="17" t="n"/>
      <c r="D5" s="17" t="n"/>
      <c r="E5" s="165">
        <f>MIN(ModelEval!$F$2:$F$8)</f>
        <v/>
      </c>
      <c r="F5" s="17" t="n"/>
      <c r="G5" s="17" t="n"/>
      <c r="H5" s="17" t="n"/>
      <c r="I5" s="169">
        <f>SUM(Forecast2025!$V$2:$V$52)</f>
        <v/>
      </c>
      <c r="J5" s="17" t="n"/>
      <c r="K5" s="17" t="n"/>
      <c r="L5" s="17" t="n"/>
      <c r="M5" s="170">
        <f>COUNTIF(Tests!$P$2:$P$22,TRUE)</f>
        <v/>
      </c>
      <c r="N5" s="17" t="n"/>
      <c r="O5" s="17" t="n"/>
      <c r="P5" s="17" t="n"/>
      <c r="Q5" s="17" t="n"/>
    </row>
    <row r="6" ht="18" customHeight="1" s="16">
      <c r="A6" s="17" t="n"/>
      <c r="D6" s="17" t="n"/>
      <c r="E6" s="17" t="n"/>
      <c r="H6" s="17" t="n"/>
      <c r="I6" s="17" t="n"/>
      <c r="L6" s="17" t="n"/>
      <c r="M6" s="17" t="n"/>
      <c r="Q6" s="17" t="n"/>
    </row>
    <row r="7" ht="18" customHeight="1" s="16">
      <c r="A7" s="17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</row>
    <row r="8" ht="18" customHeight="1" s="16">
      <c r="A8" s="119" t="n"/>
      <c r="B8" s="119" t="n"/>
      <c r="C8" s="119" t="n"/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</row>
    <row r="9" ht="18" customHeight="1" s="16">
      <c r="A9" s="119" t="n"/>
      <c r="B9" s="119" t="n"/>
      <c r="C9" s="119" t="n"/>
      <c r="D9" s="119" t="n"/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/>
      <c r="Q9" s="119" t="n"/>
    </row>
    <row r="10" ht="18" customHeight="1" s="16">
      <c r="A10" s="134" t="inlineStr">
        <is>
          <t>Model Comparison by MAE</t>
        </is>
      </c>
      <c r="B10" s="17" t="n"/>
      <c r="C10" s="17" t="n"/>
      <c r="D10" s="17" t="n"/>
      <c r="E10" s="17" t="n"/>
      <c r="F10" s="17" t="n"/>
      <c r="G10" s="17" t="n"/>
      <c r="H10" s="17" t="n"/>
      <c r="I10" s="119" t="n"/>
      <c r="J10" s="134" t="inlineStr">
        <is>
          <t>Holdout Actual vs Predicted</t>
        </is>
      </c>
      <c r="K10" s="17" t="n"/>
      <c r="L10" s="17" t="n"/>
      <c r="M10" s="17" t="n"/>
      <c r="N10" s="17" t="n"/>
      <c r="O10" s="17" t="n"/>
      <c r="P10" s="17" t="n"/>
      <c r="Q10" s="17" t="n"/>
    </row>
    <row r="11" ht="18" customHeight="1" s="16">
      <c r="A11" s="119" t="n"/>
      <c r="B11" s="119" t="n"/>
      <c r="C11" s="119" t="n"/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</row>
    <row r="12" ht="18" customHeight="1" s="16">
      <c r="A12" s="119" t="n"/>
      <c r="B12" s="119" t="n"/>
      <c r="C12" s="119" t="n"/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</row>
    <row r="13" ht="18" customHeight="1" s="16">
      <c r="A13" s="119" t="n"/>
      <c r="B13" s="119" t="n"/>
      <c r="C13" s="119" t="n"/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 t="n"/>
      <c r="P13" s="119" t="n"/>
      <c r="Q13" s="119" t="n"/>
    </row>
    <row r="14" ht="18" customHeight="1" s="16">
      <c r="A14" s="119" t="n"/>
      <c r="B14" s="119" t="n"/>
      <c r="C14" s="119" t="n"/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</row>
    <row r="15" ht="18" customHeight="1" s="16">
      <c r="A15" s="119" t="n"/>
      <c r="B15" s="119" t="n"/>
      <c r="C15" s="119" t="n"/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/>
      <c r="Q15" s="119" t="n"/>
    </row>
    <row r="16" ht="18" customHeight="1" s="16">
      <c r="A16" s="119" t="n"/>
      <c r="B16" s="119" t="n"/>
      <c r="C16" s="119" t="n"/>
      <c r="D16" s="119" t="n"/>
      <c r="E16" s="119" t="n"/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O16" s="119" t="n"/>
      <c r="P16" s="119" t="n"/>
      <c r="Q16" s="119" t="n"/>
    </row>
    <row r="17" ht="18" customHeight="1" s="16">
      <c r="A17" s="119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/>
      <c r="Q17" s="119" t="n"/>
    </row>
    <row r="18" ht="18" customHeight="1" s="16">
      <c r="A18" s="119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</row>
    <row r="19" ht="18" customHeight="1" s="16">
      <c r="A19" s="119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O19" s="119" t="n"/>
      <c r="P19" s="119" t="n"/>
      <c r="Q19" s="119" t="n"/>
    </row>
    <row r="20" ht="18" customHeight="1" s="16">
      <c r="A20" s="119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/>
      <c r="Q20" s="119" t="n"/>
    </row>
    <row r="21" ht="18" customHeight="1" s="16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/>
      <c r="Q21" s="119" t="n"/>
    </row>
    <row r="22" ht="18" customHeight="1" s="16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 t="n"/>
      <c r="P22" s="119" t="n"/>
      <c r="Q22" s="119" t="n"/>
    </row>
    <row r="23" ht="18" customHeight="1" s="16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/>
      <c r="Q23" s="119" t="n"/>
    </row>
    <row r="24" ht="18" customHeight="1" s="16">
      <c r="A24" s="119" t="n"/>
      <c r="B24" s="119" t="n"/>
      <c r="C24" s="119" t="n"/>
      <c r="D24" s="119" t="n"/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 t="n"/>
      <c r="P24" s="119" t="n"/>
      <c r="Q24" s="119" t="n"/>
    </row>
    <row r="25" ht="18" customHeight="1" s="16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 t="n"/>
      <c r="P25" s="119" t="n"/>
      <c r="Q25" s="119" t="n"/>
    </row>
    <row r="26" ht="18" customHeight="1" s="1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/>
      <c r="Q26" s="119" t="n"/>
    </row>
    <row r="27" ht="18" customHeight="1" s="16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/>
      <c r="Q27" s="119" t="n"/>
    </row>
    <row r="28" ht="18" customHeight="1" s="16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 t="n"/>
      <c r="P28" s="119" t="n"/>
      <c r="Q28" s="119" t="n"/>
    </row>
    <row r="29" ht="18" customHeight="1" s="16">
      <c r="A29" s="134" t="inlineStr">
        <is>
          <t>Residual Distribution</t>
        </is>
      </c>
      <c r="B29" s="17" t="n"/>
      <c r="C29" s="17" t="n"/>
      <c r="D29" s="17" t="n"/>
      <c r="E29" s="17" t="n"/>
      <c r="F29" s="17" t="n"/>
      <c r="G29" s="17" t="n"/>
      <c r="H29" s="17" t="n"/>
      <c r="I29" s="119" t="n"/>
      <c r="J29" s="134" t="inlineStr">
        <is>
          <t>Statistical Test Strength</t>
        </is>
      </c>
      <c r="K29" s="17" t="n"/>
      <c r="L29" s="17" t="n"/>
      <c r="M29" s="17" t="n"/>
      <c r="N29" s="17" t="n"/>
      <c r="O29" s="17" t="n"/>
      <c r="P29" s="17" t="n"/>
      <c r="Q29" s="17" t="n"/>
    </row>
    <row r="30" ht="18" customHeight="1" s="16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/>
      <c r="Q30" s="119" t="n"/>
    </row>
    <row r="31" ht="18" customHeight="1" s="16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 t="n"/>
      <c r="P31" s="119" t="n"/>
      <c r="Q31" s="119" t="n"/>
    </row>
    <row r="32" ht="18" customHeight="1" s="16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/>
      <c r="Q32" s="119" t="n"/>
    </row>
    <row r="33" ht="18" customHeight="1" s="16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/>
      <c r="Q33" s="119" t="n"/>
    </row>
    <row r="34" ht="18" customHeight="1" s="16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 t="n"/>
      <c r="P34" s="119" t="n"/>
      <c r="Q34" s="119" t="n"/>
    </row>
    <row r="35" ht="18" customHeight="1" s="16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/>
      <c r="Q35" s="119" t="n"/>
    </row>
    <row r="36" ht="18" customHeight="1" s="1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/>
      <c r="Q36" s="119" t="n"/>
    </row>
    <row r="37" ht="18" customHeight="1" s="16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19" t="n"/>
      <c r="Q37" s="119" t="n"/>
    </row>
    <row r="38" ht="18" customHeight="1" s="16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/>
      <c r="Q38" s="119" t="n"/>
    </row>
    <row r="39" ht="18" customHeight="1" s="16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</row>
    <row r="40" ht="18" customHeight="1" s="16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 t="n"/>
      <c r="P40" s="119" t="n"/>
      <c r="Q40" s="119" t="n"/>
    </row>
    <row r="41" ht="18" customHeight="1" s="16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/>
      <c r="Q41" s="119" t="n"/>
    </row>
    <row r="42" ht="18" customHeight="1" s="16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/>
      <c r="Q42" s="119" t="n"/>
    </row>
    <row r="43" ht="18" customHeight="1" s="16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 t="n"/>
      <c r="P43" s="119" t="n"/>
      <c r="Q43" s="119" t="n"/>
    </row>
    <row r="44" ht="18" customHeight="1" s="16">
      <c r="A44" s="119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/>
      <c r="Q44" s="119" t="n"/>
    </row>
    <row r="45" ht="18" customHeight="1" s="16">
      <c r="A45" s="119" t="n"/>
      <c r="B45" s="119" t="n"/>
      <c r="C45" s="119" t="n"/>
      <c r="D45" s="119" t="n"/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/>
      <c r="Q45" s="119" t="n"/>
    </row>
    <row r="46" ht="18" customHeight="1" s="16">
      <c r="A46" s="119" t="n"/>
      <c r="B46" s="119" t="n"/>
      <c r="C46" s="119" t="n"/>
      <c r="D46" s="119" t="n"/>
      <c r="E46" s="119" t="n"/>
      <c r="F46" s="119" t="n"/>
      <c r="G46" s="119" t="n"/>
      <c r="H46" s="119" t="n"/>
      <c r="I46" s="119" t="n"/>
      <c r="J46" s="119" t="n"/>
      <c r="K46" s="119" t="n"/>
      <c r="L46" s="119" t="n"/>
      <c r="M46" s="119" t="n"/>
      <c r="N46" s="119" t="n"/>
      <c r="O46" s="119" t="n"/>
      <c r="P46" s="119" t="n"/>
      <c r="Q46" s="119" t="n"/>
    </row>
    <row r="47" ht="18" customHeight="1" s="16">
      <c r="A47" s="119" t="n"/>
      <c r="B47" s="119" t="n"/>
      <c r="C47" s="119" t="n"/>
      <c r="D47" s="119" t="n"/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/>
      <c r="Q47" s="119" t="n"/>
    </row>
    <row r="48" ht="18" customHeight="1" s="16">
      <c r="A48" s="138" t="inlineStr">
        <is>
          <t>Test ID</t>
        </is>
      </c>
      <c r="B48" s="138" t="inlineStr">
        <is>
          <t>Family</t>
        </is>
      </c>
      <c r="C48" s="138" t="inlineStr">
        <is>
          <t>p-value</t>
        </is>
      </c>
      <c r="D48" s="138" t="inlineStr">
        <is>
          <t>FDR p-value</t>
        </is>
      </c>
      <c r="E48" s="138" t="inlineStr">
        <is>
          <t>Conclusion</t>
        </is>
      </c>
      <c r="F48" s="119" t="n"/>
      <c r="G48" s="117" t="inlineStr">
        <is>
          <t>Interpretation: simple national trend tests are statistically significant, but panel models with state effects are more cautious. Model diagnostics show the ensemble is useful but not magic; the rolling average remains a strong baseline. This is an honest result, not a failure.</t>
        </is>
      </c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</row>
    <row r="49" ht="18" customHeight="1" s="16">
      <c r="A49" s="119" t="inlineStr">
        <is>
          <t>T07</t>
        </is>
      </c>
      <c r="B49" s="119" t="inlineStr">
        <is>
          <t>Geographic/per-capita</t>
        </is>
      </c>
      <c r="C49" s="171" t="n">
        <v>0</v>
      </c>
      <c r="D49" s="171" t="n">
        <v>0</v>
      </c>
      <c r="E49" s="119" t="inlineStr">
        <is>
          <t>State totals are not explainable by population exposure alone; geography matters substantially.</t>
        </is>
      </c>
      <c r="F49" s="119" t="n"/>
      <c r="G49" s="17" t="n"/>
      <c r="Q49" s="17" t="n"/>
    </row>
    <row r="50" ht="18" customHeight="1" s="16">
      <c r="A50" s="119" t="inlineStr">
        <is>
          <t>T09</t>
        </is>
      </c>
      <c r="B50" s="119" t="inlineStr">
        <is>
          <t>Incident characteristics</t>
        </is>
      </c>
      <c r="C50" s="171" t="n">
        <v>1.095316909822508e-54</v>
      </c>
      <c r="D50" s="171" t="n">
        <v>1.150082755313633e-53</v>
      </c>
      <c r="E50" s="119" t="inlineStr">
        <is>
          <t>Body-camera indication varies significantly by year; association is modest.</t>
        </is>
      </c>
      <c r="F50" s="119" t="n"/>
      <c r="G50" s="17" t="n"/>
      <c r="Q50" s="17" t="n"/>
    </row>
    <row r="51" ht="18" customHeight="1" s="16">
      <c r="A51" s="119" t="inlineStr">
        <is>
          <t>T16</t>
        </is>
      </c>
      <c r="B51" s="119" t="inlineStr">
        <is>
          <t>Geographic/per-capita</t>
        </is>
      </c>
      <c r="C51" s="171" t="n">
        <v>4.748432251463669e-08</v>
      </c>
      <c r="D51" s="171" t="n">
        <v>3.323902576024568e-07</v>
      </c>
      <c r="E51" s="119" t="inlineStr">
        <is>
          <t>States with higher overall rates also tend to have higher unarmed rates, but this is partly mechanical because unarmed is a subset of total.</t>
        </is>
      </c>
      <c r="F51" s="119" t="n"/>
      <c r="G51" s="17" t="n"/>
      <c r="Q51" s="17" t="n"/>
    </row>
    <row r="52" ht="18" customHeight="1" s="16">
      <c r="A52" s="119" t="inlineStr">
        <is>
          <t>T15_prev_national_rate_baseline</t>
        </is>
      </c>
      <c r="B52" s="119" t="inlineStr">
        <is>
          <t>Model comparison</t>
        </is>
      </c>
      <c r="C52" s="171" t="n">
        <v>7.213303394406438e-07</v>
      </c>
      <c r="D52" s="171" t="n">
        <v>3.78698428206338e-06</v>
      </c>
      <c r="E52" s="119" t="inlineStr">
        <is>
          <t>Ensemble has significantly lower absolute holdout error than this comparator.</t>
        </is>
      </c>
      <c r="F52" s="119" t="n"/>
      <c r="G52" s="17" t="n"/>
      <c r="Q52" s="17" t="n"/>
    </row>
    <row r="53" ht="18" customHeight="1" s="16">
      <c r="A53" s="119" t="inlineStr">
        <is>
          <t>T13</t>
        </is>
      </c>
      <c r="B53" s="119" t="inlineStr">
        <is>
          <t>Model diagnostics</t>
        </is>
      </c>
      <c r="C53" s="171" t="n">
        <v>1.23251388110065e-06</v>
      </c>
      <c r="D53" s="171" t="n">
        <v>5.17655830062273e-06</v>
      </c>
      <c r="E53" s="119" t="inlineStr">
        <is>
          <t>Ensemble residuals are non-normal; prefer robust/nonparametric intervals over normal-theory assumptions.</t>
        </is>
      </c>
      <c r="F53" s="119" t="n"/>
      <c r="G53" s="17" t="n"/>
      <c r="Q53" s="17" t="n"/>
    </row>
    <row r="54" ht="18" customHeight="1" s="16">
      <c r="A54" s="119" t="inlineStr">
        <is>
          <t>T08</t>
        </is>
      </c>
      <c r="B54" s="119" t="inlineStr">
        <is>
          <t>Geographic/per-capita</t>
        </is>
      </c>
      <c r="C54" s="171" t="n">
        <v>4.989399822077764e-06</v>
      </c>
      <c r="D54" s="171" t="n">
        <v>1.746289937727217e-05</v>
      </c>
      <c r="E54" s="119" t="inlineStr">
        <is>
          <t>Census regions differ significantly in state annualized rates; West is highest by median rate.</t>
        </is>
      </c>
      <c r="F54" s="119" t="n"/>
      <c r="G54" s="17" t="n"/>
      <c r="Q54" s="17" t="n"/>
    </row>
    <row r="55" ht="18" customHeight="1" s="16">
      <c r="A55" s="119" t="inlineStr">
        <is>
          <t>T04</t>
        </is>
      </c>
      <c r="B55" s="119" t="inlineStr">
        <is>
          <t>Trend/per-capita</t>
        </is>
      </c>
      <c r="C55" s="171" t="n">
        <v>0.0002044724061488323</v>
      </c>
      <c r="D55" s="171" t="n">
        <v>0.0006134172184464968</v>
      </c>
      <c r="E55" s="119" t="inlineStr">
        <is>
          <t>National unarmed rate is significantly monotonic downward.</t>
        </is>
      </c>
      <c r="F55" s="119" t="n"/>
      <c r="G55" s="17" t="n"/>
      <c r="Q55" s="17" t="n"/>
    </row>
    <row r="56" ht="18" customHeight="1" s="16">
      <c r="A56" s="119" t="inlineStr">
        <is>
          <t>T10</t>
        </is>
      </c>
      <c r="B56" s="119" t="inlineStr">
        <is>
          <t>Incident characteristics</t>
        </is>
      </c>
      <c r="C56" s="171" t="n">
        <v>0.000498161678492664</v>
      </c>
      <c r="D56" s="171" t="n">
        <v>0.001307674406043243</v>
      </c>
      <c r="E56" s="119" t="inlineStr">
        <is>
          <t>Unarmed share differs by recorded race/ethnicity label, but effect size is very small; do not read as per-capita racial risk.</t>
        </is>
      </c>
      <c r="F56" s="119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</row>
    <row r="57" ht="18" customHeight="1" s="16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</row>
    <row r="58" ht="18" customHeight="1" s="16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 t="n"/>
      <c r="P58" s="119" t="n"/>
      <c r="Q58" s="119" t="n"/>
    </row>
    <row r="59" ht="18" customHeight="1" s="16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/>
      <c r="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/>
      <c r="Q60" s="119" t="n"/>
    </row>
  </sheetData>
  <mergeCells count="15">
    <mergeCell ref="I5:L7"/>
    <mergeCell ref="A29:H29"/>
    <mergeCell ref="A4:D4"/>
    <mergeCell ref="E4:H4"/>
    <mergeCell ref="J29:Q29"/>
    <mergeCell ref="I4:L4"/>
    <mergeCell ref="A10:H10"/>
    <mergeCell ref="A2:Q2"/>
    <mergeCell ref="J10:Q10"/>
    <mergeCell ref="M4:Q4"/>
    <mergeCell ref="G48:Q56"/>
    <mergeCell ref="A5:D7"/>
    <mergeCell ref="E5:H7"/>
    <mergeCell ref="A1:Q1"/>
    <mergeCell ref="M5:Q7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18" customWidth="1" style="16" min="12" max="12"/>
    <col width="16" customWidth="1" style="16" min="13" max="13"/>
    <col width="16" customWidth="1" style="16" min="14" max="14"/>
    <col width="16" customWidth="1" style="16" min="15" max="15"/>
    <col width="16" customWidth="1" style="16" min="16" max="16"/>
  </cols>
  <sheetData>
    <row r="1">
      <c r="A1" s="6" t="inlineStr">
        <is>
          <t>year</t>
        </is>
      </c>
      <c r="B1" s="6" t="inlineStr">
        <is>
          <t>fatal_shootings</t>
        </is>
      </c>
      <c r="C1" s="6" t="inlineStr">
        <is>
          <t>population</t>
        </is>
      </c>
      <c r="D1" s="6" t="inlineStr">
        <is>
          <t>fatal_shootings_per_100k</t>
        </is>
      </c>
      <c r="E1" s="6" t="inlineStr">
        <is>
          <t>fatal_shootings_per_1m</t>
        </is>
      </c>
      <c r="F1" s="6" t="inlineStr">
        <is>
          <t>unarmed_count</t>
        </is>
      </c>
      <c r="G1" s="6" t="inlineStr">
        <is>
          <t>unarmed_per_1m</t>
        </is>
      </c>
      <c r="H1" s="6" t="inlineStr">
        <is>
          <t>armed_with_gun_count</t>
        </is>
      </c>
      <c r="I1" s="6" t="inlineStr">
        <is>
          <t>armed_with_gun_per_1m</t>
        </is>
      </c>
      <c r="J1" s="6" t="inlineStr">
        <is>
          <t>mental_illness_related_count</t>
        </is>
      </c>
      <c r="K1" s="6" t="inlineStr">
        <is>
          <t>mental_illness_related_per_1m</t>
        </is>
      </c>
      <c r="L1" s="6" t="inlineStr">
        <is>
          <t>body_camera_count</t>
        </is>
      </c>
      <c r="M1" s="6" t="inlineStr">
        <is>
          <t>body_camera_per_1m</t>
        </is>
      </c>
      <c r="N1" s="6" t="inlineStr">
        <is>
          <t>race_known_count</t>
        </is>
      </c>
      <c r="O1" s="6" t="inlineStr">
        <is>
          <t>race_missing_count</t>
        </is>
      </c>
      <c r="P1" s="6" t="inlineStr">
        <is>
          <t>population_source_vintage</t>
        </is>
      </c>
    </row>
    <row r="2">
      <c r="A2" s="172" t="n">
        <v>2015</v>
      </c>
      <c r="B2" s="172" t="n">
        <v>995</v>
      </c>
      <c r="C2" s="172" t="n">
        <v>320635163</v>
      </c>
      <c r="D2" s="172" t="n">
        <v>0.3103</v>
      </c>
      <c r="E2" s="172" t="n">
        <v>3.1032</v>
      </c>
      <c r="F2" s="172" t="n">
        <v>94</v>
      </c>
      <c r="G2" t="n">
        <v>0.2932</v>
      </c>
      <c r="H2" s="172" t="n">
        <v>565</v>
      </c>
      <c r="I2" t="n">
        <v>1.7621</v>
      </c>
      <c r="J2" s="172" t="n">
        <v>261</v>
      </c>
      <c r="K2" t="n">
        <v>0.8139999999999999</v>
      </c>
      <c r="L2" s="172" t="n">
        <v>75</v>
      </c>
      <c r="M2" t="n">
        <v>0.2339</v>
      </c>
      <c r="N2" s="172" t="n">
        <v>976</v>
      </c>
      <c r="O2" s="172" t="n">
        <v>19</v>
      </c>
      <c r="P2" s="172" t="inlineStr">
        <is>
          <t>Census PEP Vintage 2019</t>
        </is>
      </c>
    </row>
    <row r="3">
      <c r="A3" s="172" t="n">
        <v>2016</v>
      </c>
      <c r="B3" s="172" t="n">
        <v>959</v>
      </c>
      <c r="C3" s="172" t="n">
        <v>322941311</v>
      </c>
      <c r="D3" s="172" t="n">
        <v>0.297</v>
      </c>
      <c r="E3" s="172" t="n">
        <v>2.9696</v>
      </c>
      <c r="F3" s="172" t="n">
        <v>64</v>
      </c>
      <c r="G3" t="n">
        <v>0.1982</v>
      </c>
      <c r="H3" s="172" t="n">
        <v>523</v>
      </c>
      <c r="I3" t="n">
        <v>1.6195</v>
      </c>
      <c r="J3" s="172" t="n">
        <v>249</v>
      </c>
      <c r="K3" t="n">
        <v>0.771</v>
      </c>
      <c r="L3" s="172" t="n">
        <v>145</v>
      </c>
      <c r="M3" t="n">
        <v>0.449</v>
      </c>
      <c r="N3" s="172" t="n">
        <v>920</v>
      </c>
      <c r="O3" s="172" t="n">
        <v>39</v>
      </c>
      <c r="P3" s="172" t="inlineStr">
        <is>
          <t>Census PEP Vintage 2019</t>
        </is>
      </c>
    </row>
    <row r="4">
      <c r="A4" s="172" t="n">
        <v>2017</v>
      </c>
      <c r="B4" s="172" t="n">
        <v>984</v>
      </c>
      <c r="C4" s="172" t="n">
        <v>324985539</v>
      </c>
      <c r="D4" s="172" t="n">
        <v>0.3028</v>
      </c>
      <c r="E4" s="172" t="n">
        <v>3.0278</v>
      </c>
      <c r="F4" s="172" t="n">
        <v>69</v>
      </c>
      <c r="G4" t="n">
        <v>0.2123</v>
      </c>
      <c r="H4" s="172" t="n">
        <v>573</v>
      </c>
      <c r="I4" t="n">
        <v>1.7632</v>
      </c>
      <c r="J4" s="172" t="n">
        <v>240</v>
      </c>
      <c r="K4" t="n">
        <v>0.7385</v>
      </c>
      <c r="L4" s="172" t="n">
        <v>111</v>
      </c>
      <c r="M4" t="n">
        <v>0.3416</v>
      </c>
      <c r="N4" s="172" t="n">
        <v>924</v>
      </c>
      <c r="O4" s="172" t="n">
        <v>60</v>
      </c>
      <c r="P4" s="172" t="inlineStr">
        <is>
          <t>Census PEP Vintage 2019</t>
        </is>
      </c>
    </row>
    <row r="5">
      <c r="A5" s="172" t="n">
        <v>2018</v>
      </c>
      <c r="B5" s="172" t="n">
        <v>992</v>
      </c>
      <c r="C5" s="172" t="n">
        <v>326687501</v>
      </c>
      <c r="D5" s="172" t="n">
        <v>0.3037</v>
      </c>
      <c r="E5" s="172" t="n">
        <v>3.0365</v>
      </c>
      <c r="F5" s="172" t="n">
        <v>59</v>
      </c>
      <c r="G5" t="n">
        <v>0.1806</v>
      </c>
      <c r="H5" s="172" t="n">
        <v>555</v>
      </c>
      <c r="I5" t="n">
        <v>1.6989</v>
      </c>
      <c r="J5" s="172" t="n">
        <v>220</v>
      </c>
      <c r="K5" t="n">
        <v>0.6734</v>
      </c>
      <c r="L5" s="172" t="n">
        <v>125</v>
      </c>
      <c r="M5" t="n">
        <v>0.3826</v>
      </c>
      <c r="N5" s="172" t="n">
        <v>937</v>
      </c>
      <c r="O5" s="172" t="n">
        <v>55</v>
      </c>
      <c r="P5" s="172" t="inlineStr">
        <is>
          <t>Census PEP Vintage 2019</t>
        </is>
      </c>
    </row>
    <row r="6">
      <c r="A6" s="172" t="n">
        <v>2019</v>
      </c>
      <c r="B6" s="172" t="n">
        <v>993</v>
      </c>
      <c r="C6" s="172" t="n">
        <v>328239523</v>
      </c>
      <c r="D6" s="172" t="n">
        <v>0.3025</v>
      </c>
      <c r="E6" s="172" t="n">
        <v>3.0252</v>
      </c>
      <c r="F6" s="172" t="n">
        <v>54</v>
      </c>
      <c r="G6" t="n">
        <v>0.1645</v>
      </c>
      <c r="H6" s="172" t="n">
        <v>594</v>
      </c>
      <c r="I6" t="n">
        <v>1.8097</v>
      </c>
      <c r="J6" s="172" t="n">
        <v>217</v>
      </c>
      <c r="K6" t="n">
        <v>0.6611</v>
      </c>
      <c r="L6" s="172" t="n">
        <v>138</v>
      </c>
      <c r="M6" t="n">
        <v>0.4204</v>
      </c>
      <c r="N6" s="172" t="n">
        <v>902</v>
      </c>
      <c r="O6" s="172" t="n">
        <v>91</v>
      </c>
      <c r="P6" s="172" t="inlineStr">
        <is>
          <t>Census PEP Vintage 2019</t>
        </is>
      </c>
    </row>
    <row r="7">
      <c r="A7" s="172" t="n">
        <v>2020</v>
      </c>
      <c r="B7" s="172" t="n">
        <v>1021</v>
      </c>
      <c r="C7" s="172" t="n">
        <v>331578104</v>
      </c>
      <c r="D7" s="172" t="n">
        <v>0.3079</v>
      </c>
      <c r="E7" s="172" t="n">
        <v>3.0792</v>
      </c>
      <c r="F7" s="172" t="n">
        <v>61</v>
      </c>
      <c r="G7" t="n">
        <v>0.184</v>
      </c>
      <c r="H7" s="172" t="n">
        <v>652</v>
      </c>
      <c r="I7" t="n">
        <v>1.9664</v>
      </c>
      <c r="J7" s="172" t="n">
        <v>223</v>
      </c>
      <c r="K7" t="n">
        <v>0.6725</v>
      </c>
      <c r="L7" s="172" t="n">
        <v>181</v>
      </c>
      <c r="M7" t="n">
        <v>0.5459000000000001</v>
      </c>
      <c r="N7" s="172" t="n">
        <v>921</v>
      </c>
      <c r="O7" s="172" t="n">
        <v>100</v>
      </c>
      <c r="P7" s="172" t="inlineStr">
        <is>
          <t>Census PEP Vintage 2025</t>
        </is>
      </c>
    </row>
    <row r="8">
      <c r="A8" s="172" t="n">
        <v>2021</v>
      </c>
      <c r="B8" s="172" t="n">
        <v>1050</v>
      </c>
      <c r="C8" s="172" t="n">
        <v>332100166</v>
      </c>
      <c r="D8" s="172" t="n">
        <v>0.3162</v>
      </c>
      <c r="E8" s="172" t="n">
        <v>3.1617</v>
      </c>
      <c r="F8" s="172" t="n">
        <v>33</v>
      </c>
      <c r="G8" t="n">
        <v>0.0994</v>
      </c>
      <c r="H8" s="172" t="n">
        <v>634</v>
      </c>
      <c r="I8" t="n">
        <v>1.9091</v>
      </c>
      <c r="J8" s="172" t="n">
        <v>153</v>
      </c>
      <c r="K8" t="n">
        <v>0.4607</v>
      </c>
      <c r="L8" s="172" t="n">
        <v>225</v>
      </c>
      <c r="M8" t="n">
        <v>0.6775</v>
      </c>
      <c r="N8" s="172" t="n">
        <v>925</v>
      </c>
      <c r="O8" s="172" t="n">
        <v>125</v>
      </c>
      <c r="P8" s="172" t="inlineStr">
        <is>
          <t>Census PEP Vintage 2025</t>
        </is>
      </c>
    </row>
    <row r="9">
      <c r="A9" s="172" t="n">
        <v>2022</v>
      </c>
      <c r="B9" s="172" t="n">
        <v>1097</v>
      </c>
      <c r="C9" s="172" t="n">
        <v>333996304</v>
      </c>
      <c r="D9" s="172" t="n">
        <v>0.3284</v>
      </c>
      <c r="E9" s="172" t="n">
        <v>3.2845</v>
      </c>
      <c r="F9" s="172" t="n">
        <v>51</v>
      </c>
      <c r="G9" t="n">
        <v>0.1527</v>
      </c>
      <c r="H9" s="172" t="n">
        <v>665</v>
      </c>
      <c r="I9" t="n">
        <v>1.991</v>
      </c>
      <c r="J9" s="172" t="n">
        <v>158</v>
      </c>
      <c r="K9" t="n">
        <v>0.4731</v>
      </c>
      <c r="L9" s="172" t="n">
        <v>209</v>
      </c>
      <c r="M9" t="n">
        <v>0.6258</v>
      </c>
      <c r="N9" s="172" t="n">
        <v>910</v>
      </c>
      <c r="O9" s="172" t="n">
        <v>187</v>
      </c>
      <c r="P9" s="172" t="inlineStr">
        <is>
          <t>Census PEP Vintage 2025</t>
        </is>
      </c>
    </row>
    <row r="10">
      <c r="A10" s="172" t="n">
        <v>2023</v>
      </c>
      <c r="B10" s="172" t="n">
        <v>1164</v>
      </c>
      <c r="C10" s="172" t="n">
        <v>336755052</v>
      </c>
      <c r="D10" s="172" t="n">
        <v>0.3457</v>
      </c>
      <c r="E10" s="172" t="n">
        <v>3.4565</v>
      </c>
      <c r="F10" s="172" t="n">
        <v>51</v>
      </c>
      <c r="G10" t="n">
        <v>0.1514</v>
      </c>
      <c r="H10" s="172" t="n">
        <v>718</v>
      </c>
      <c r="I10" t="n">
        <v>2.1321</v>
      </c>
      <c r="J10" s="172" t="n">
        <v>161</v>
      </c>
      <c r="K10" t="n">
        <v>0.4781</v>
      </c>
      <c r="L10" s="172" t="n">
        <v>353</v>
      </c>
      <c r="M10" t="n">
        <v>1.0482</v>
      </c>
      <c r="N10" s="172" t="n">
        <v>956</v>
      </c>
      <c r="O10" s="172" t="n">
        <v>208</v>
      </c>
      <c r="P10" s="172" t="inlineStr">
        <is>
          <t>Census PEP Vintage 2025</t>
        </is>
      </c>
    </row>
    <row r="11">
      <c r="A11" s="172" t="n">
        <v>2024</v>
      </c>
      <c r="B11" s="172" t="n">
        <v>1175</v>
      </c>
      <c r="C11" s="172" t="n">
        <v>340003797</v>
      </c>
      <c r="D11" s="172" t="n">
        <v>0.3456</v>
      </c>
      <c r="E11" s="172" t="n">
        <v>3.4558</v>
      </c>
      <c r="F11" s="172" t="n">
        <v>29</v>
      </c>
      <c r="G11" t="n">
        <v>0.0853</v>
      </c>
      <c r="H11" s="172" t="n">
        <v>674</v>
      </c>
      <c r="I11" t="n">
        <v>1.9823</v>
      </c>
      <c r="J11" s="172" t="n">
        <v>175</v>
      </c>
      <c r="K11" t="n">
        <v>0.5147</v>
      </c>
      <c r="L11" s="172" t="n">
        <v>237</v>
      </c>
      <c r="M11" t="n">
        <v>0.6971000000000001</v>
      </c>
      <c r="N11" s="172" t="n">
        <v>871</v>
      </c>
      <c r="O11" s="172" t="n">
        <v>304</v>
      </c>
      <c r="P11" s="172" t="inlineStr">
        <is>
          <t>Census PEP Vintage 2025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</cols>
  <sheetData>
    <row r="1">
      <c r="A1" s="6" t="inlineStr">
        <is>
          <t>state_abbr</t>
        </is>
      </c>
      <c r="B1" s="6" t="inlineStr">
        <is>
          <t>state_fips</t>
        </is>
      </c>
      <c r="C1" s="6" t="inlineStr">
        <is>
          <t>state_name</t>
        </is>
      </c>
      <c r="D1" s="6" t="inlineStr">
        <is>
          <t>fatal_shootings_2015_2024</t>
        </is>
      </c>
      <c r="E1" s="6" t="inlineStr">
        <is>
          <t>avg_population_2015_2024</t>
        </is>
      </c>
      <c r="F1" s="6" t="inlineStr">
        <is>
          <t>annualized_rate_per_1m</t>
        </is>
      </c>
      <c r="G1" s="6" t="inlineStr">
        <is>
          <t>unarmed_count_2015_2024</t>
        </is>
      </c>
      <c r="H1" s="6" t="inlineStr">
        <is>
          <t>mental_illness_related_count_2015_2024</t>
        </is>
      </c>
      <c r="I1" s="6" t="inlineStr">
        <is>
          <t>rank_by_annualized_rate_per_1m</t>
        </is>
      </c>
    </row>
    <row r="2">
      <c r="A2" t="inlineStr">
        <is>
          <t>NM</t>
        </is>
      </c>
      <c r="B2" t="inlineStr">
        <is>
          <t>35</t>
        </is>
      </c>
      <c r="C2" t="inlineStr">
        <is>
          <t>New Mexico</t>
        </is>
      </c>
      <c r="D2" s="172" t="n">
        <v>219</v>
      </c>
      <c r="E2" s="172" t="n">
        <v>2105700</v>
      </c>
      <c r="F2" s="173" t="n">
        <v>10.4003</v>
      </c>
      <c r="G2" s="172" t="n">
        <v>12</v>
      </c>
      <c r="H2" s="172" t="n">
        <v>35</v>
      </c>
      <c r="I2" s="173" t="n">
        <v>1</v>
      </c>
    </row>
    <row r="3">
      <c r="A3" t="inlineStr">
        <is>
          <t>AK</t>
        </is>
      </c>
      <c r="B3" t="inlineStr">
        <is>
          <t>02</t>
        </is>
      </c>
      <c r="C3" t="inlineStr">
        <is>
          <t>Alaska</t>
        </is>
      </c>
      <c r="D3" s="172" t="n">
        <v>69</v>
      </c>
      <c r="E3" s="172" t="n">
        <v>735768</v>
      </c>
      <c r="F3" s="173" t="n">
        <v>9.378</v>
      </c>
      <c r="G3" s="172" t="n">
        <v>4</v>
      </c>
      <c r="H3" s="172" t="n">
        <v>10</v>
      </c>
      <c r="I3" s="173" t="n">
        <v>2</v>
      </c>
    </row>
    <row r="4">
      <c r="A4" t="inlineStr">
        <is>
          <t>OK</t>
        </is>
      </c>
      <c r="B4" t="inlineStr">
        <is>
          <t>40</t>
        </is>
      </c>
      <c r="C4" t="inlineStr">
        <is>
          <t>Oklahoma</t>
        </is>
      </c>
      <c r="D4" s="172" t="n">
        <v>266</v>
      </c>
      <c r="E4" s="172" t="n">
        <v>3980816</v>
      </c>
      <c r="F4" s="173" t="n">
        <v>6.682</v>
      </c>
      <c r="G4" s="172" t="n">
        <v>20</v>
      </c>
      <c r="H4" s="172" t="n">
        <v>51</v>
      </c>
      <c r="I4" s="173" t="n">
        <v>3</v>
      </c>
    </row>
    <row r="5">
      <c r="A5" t="inlineStr">
        <is>
          <t>CO</t>
        </is>
      </c>
      <c r="B5" t="inlineStr">
        <is>
          <t>08</t>
        </is>
      </c>
      <c r="C5" t="inlineStr">
        <is>
          <t>Colorado</t>
        </is>
      </c>
      <c r="D5" s="172" t="n">
        <v>375</v>
      </c>
      <c r="E5" s="172" t="n">
        <v>5740708</v>
      </c>
      <c r="F5" s="173" t="n">
        <v>6.5323</v>
      </c>
      <c r="G5" s="172" t="n">
        <v>17</v>
      </c>
      <c r="H5" s="172" t="n">
        <v>47</v>
      </c>
      <c r="I5" s="173" t="n">
        <v>4</v>
      </c>
    </row>
    <row r="6">
      <c r="A6" t="inlineStr">
        <is>
          <t>AZ</t>
        </is>
      </c>
      <c r="B6" t="inlineStr">
        <is>
          <t>04</t>
        </is>
      </c>
      <c r="C6" t="inlineStr">
        <is>
          <t>Arizona</t>
        </is>
      </c>
      <c r="D6" s="172" t="n">
        <v>461</v>
      </c>
      <c r="E6" s="172" t="n">
        <v>7209073</v>
      </c>
      <c r="F6" s="173" t="n">
        <v>6.3947</v>
      </c>
      <c r="G6" s="172" t="n">
        <v>27</v>
      </c>
      <c r="H6" s="172" t="n">
        <v>70</v>
      </c>
      <c r="I6" s="173" t="n">
        <v>5</v>
      </c>
    </row>
    <row r="7">
      <c r="A7" t="inlineStr">
        <is>
          <t>MT</t>
        </is>
      </c>
      <c r="B7" t="inlineStr">
        <is>
          <t>30</t>
        </is>
      </c>
      <c r="C7" t="inlineStr">
        <is>
          <t>Montana</t>
        </is>
      </c>
      <c r="D7" s="172" t="n">
        <v>69</v>
      </c>
      <c r="E7" s="172" t="n">
        <v>1083653</v>
      </c>
      <c r="F7" s="173" t="n">
        <v>6.3674</v>
      </c>
      <c r="G7" s="172" t="n">
        <v>0</v>
      </c>
      <c r="H7" s="172" t="n">
        <v>9</v>
      </c>
      <c r="I7" s="173" t="n">
        <v>6</v>
      </c>
    </row>
    <row r="8">
      <c r="A8" t="inlineStr">
        <is>
          <t>WY</t>
        </is>
      </c>
      <c r="B8" t="inlineStr">
        <is>
          <t>56</t>
        </is>
      </c>
      <c r="C8" t="inlineStr">
        <is>
          <t>Wyoming</t>
        </is>
      </c>
      <c r="D8" s="172" t="n">
        <v>36</v>
      </c>
      <c r="E8" s="172" t="n">
        <v>581558</v>
      </c>
      <c r="F8" s="173" t="n">
        <v>6.1903</v>
      </c>
      <c r="G8" s="172" t="n">
        <v>2</v>
      </c>
      <c r="H8" s="172" t="n">
        <v>6</v>
      </c>
      <c r="I8" s="173" t="n">
        <v>7</v>
      </c>
    </row>
    <row r="9">
      <c r="A9" t="inlineStr">
        <is>
          <t>WV</t>
        </is>
      </c>
      <c r="B9" t="inlineStr">
        <is>
          <t>54</t>
        </is>
      </c>
      <c r="C9" t="inlineStr">
        <is>
          <t>West Virginia</t>
        </is>
      </c>
      <c r="D9" s="172" t="n">
        <v>100</v>
      </c>
      <c r="E9" s="172" t="n">
        <v>1797555</v>
      </c>
      <c r="F9" s="173" t="n">
        <v>5.5631</v>
      </c>
      <c r="G9" s="172" t="n">
        <v>3</v>
      </c>
      <c r="H9" s="172" t="n">
        <v>16</v>
      </c>
      <c r="I9" s="173" t="n">
        <v>8</v>
      </c>
    </row>
    <row r="10">
      <c r="A10" t="inlineStr">
        <is>
          <t>NV</t>
        </is>
      </c>
      <c r="B10" t="inlineStr">
        <is>
          <t>32</t>
        </is>
      </c>
      <c r="C10" t="inlineStr">
        <is>
          <t>Nevada</t>
        </is>
      </c>
      <c r="D10" s="172" t="n">
        <v>171</v>
      </c>
      <c r="E10" s="172" t="n">
        <v>3076952</v>
      </c>
      <c r="F10" s="173" t="n">
        <v>5.5574</v>
      </c>
      <c r="G10" s="172" t="n">
        <v>6</v>
      </c>
      <c r="H10" s="172" t="n">
        <v>37</v>
      </c>
      <c r="I10" s="173" t="n">
        <v>9</v>
      </c>
    </row>
    <row r="11">
      <c r="A11" t="inlineStr">
        <is>
          <t>ID</t>
        </is>
      </c>
      <c r="B11" t="inlineStr">
        <is>
          <t>16</t>
        </is>
      </c>
      <c r="C11" t="inlineStr">
        <is>
          <t>Idaho</t>
        </is>
      </c>
      <c r="D11" s="172" t="n">
        <v>90</v>
      </c>
      <c r="E11" s="172" t="n">
        <v>1825726</v>
      </c>
      <c r="F11" s="173" t="n">
        <v>4.9295</v>
      </c>
      <c r="G11" s="172" t="n">
        <v>2</v>
      </c>
      <c r="H11" s="172" t="n">
        <v>12</v>
      </c>
      <c r="I11" s="173" t="n">
        <v>10</v>
      </c>
    </row>
    <row r="12">
      <c r="A12" t="inlineStr">
        <is>
          <t>AR</t>
        </is>
      </c>
      <c r="B12" t="inlineStr">
        <is>
          <t>05</t>
        </is>
      </c>
      <c r="C12" t="inlineStr">
        <is>
          <t>Arkansas</t>
        </is>
      </c>
      <c r="D12" s="172" t="n">
        <v>143</v>
      </c>
      <c r="E12" s="172" t="n">
        <v>3025174</v>
      </c>
      <c r="F12" s="173" t="n">
        <v>4.727</v>
      </c>
      <c r="G12" s="172" t="n">
        <v>4</v>
      </c>
      <c r="H12" s="172" t="n">
        <v>20</v>
      </c>
      <c r="I12" s="173" t="n">
        <v>11</v>
      </c>
    </row>
    <row r="13">
      <c r="A13" t="inlineStr">
        <is>
          <t>MS</t>
        </is>
      </c>
      <c r="B13" t="inlineStr">
        <is>
          <t>28</t>
        </is>
      </c>
      <c r="C13" t="inlineStr">
        <is>
          <t>Mississippi</t>
        </is>
      </c>
      <c r="D13" s="172" t="n">
        <v>139</v>
      </c>
      <c r="E13" s="172" t="n">
        <v>2966196</v>
      </c>
      <c r="F13" s="173" t="n">
        <v>4.6861</v>
      </c>
      <c r="G13" s="172" t="n">
        <v>7</v>
      </c>
      <c r="H13" s="172" t="n">
        <v>17</v>
      </c>
      <c r="I13" s="173" t="n">
        <v>12</v>
      </c>
    </row>
    <row r="14">
      <c r="A14" t="inlineStr">
        <is>
          <t>DC</t>
        </is>
      </c>
      <c r="B14" t="inlineStr">
        <is>
          <t>11</t>
        </is>
      </c>
      <c r="C14" t="inlineStr">
        <is>
          <t>District of Columbia</t>
        </is>
      </c>
      <c r="D14" s="172" t="n">
        <v>30</v>
      </c>
      <c r="E14" s="172" t="n">
        <v>685238</v>
      </c>
      <c r="F14" s="173" t="n">
        <v>4.378</v>
      </c>
      <c r="G14" s="172" t="n">
        <v>3</v>
      </c>
      <c r="H14" s="172" t="n">
        <v>5</v>
      </c>
      <c r="I14" s="173" t="n">
        <v>13</v>
      </c>
    </row>
    <row r="15">
      <c r="A15" t="inlineStr">
        <is>
          <t>LA</t>
        </is>
      </c>
      <c r="B15" t="inlineStr">
        <is>
          <t>22</t>
        </is>
      </c>
      <c r="C15" t="inlineStr">
        <is>
          <t>Louisiana</t>
        </is>
      </c>
      <c r="D15" s="172" t="n">
        <v>200</v>
      </c>
      <c r="E15" s="172" t="n">
        <v>4641709</v>
      </c>
      <c r="F15" s="173" t="n">
        <v>4.3088</v>
      </c>
      <c r="G15" s="172" t="n">
        <v>18</v>
      </c>
      <c r="H15" s="172" t="n">
        <v>36</v>
      </c>
      <c r="I15" s="173" t="n">
        <v>14</v>
      </c>
    </row>
    <row r="16">
      <c r="A16" t="inlineStr">
        <is>
          <t>MO</t>
        </is>
      </c>
      <c r="B16" t="inlineStr">
        <is>
          <t>29</t>
        </is>
      </c>
      <c r="C16" t="inlineStr">
        <is>
          <t>Missouri</t>
        </is>
      </c>
      <c r="D16" s="172" t="n">
        <v>263</v>
      </c>
      <c r="E16" s="172" t="n">
        <v>6148100</v>
      </c>
      <c r="F16" s="173" t="n">
        <v>4.2777</v>
      </c>
      <c r="G16" s="172" t="n">
        <v>12</v>
      </c>
      <c r="H16" s="172" t="n">
        <v>42</v>
      </c>
      <c r="I16" s="173" t="n">
        <v>15</v>
      </c>
    </row>
    <row r="17">
      <c r="A17" t="inlineStr">
        <is>
          <t>TN</t>
        </is>
      </c>
      <c r="B17" t="inlineStr">
        <is>
          <t>47</t>
        </is>
      </c>
      <c r="C17" t="inlineStr">
        <is>
          <t>Tennessee</t>
        </is>
      </c>
      <c r="D17" s="172" t="n">
        <v>293</v>
      </c>
      <c r="E17" s="172" t="n">
        <v>6890885</v>
      </c>
      <c r="F17" s="173" t="n">
        <v>4.252</v>
      </c>
      <c r="G17" s="172" t="n">
        <v>9</v>
      </c>
      <c r="H17" s="172" t="n">
        <v>61</v>
      </c>
      <c r="I17" s="173" t="n">
        <v>16</v>
      </c>
    </row>
    <row r="18">
      <c r="A18" t="inlineStr">
        <is>
          <t>UT</t>
        </is>
      </c>
      <c r="B18" t="inlineStr">
        <is>
          <t>49</t>
        </is>
      </c>
      <c r="C18" t="inlineStr">
        <is>
          <t>Utah</t>
        </is>
      </c>
      <c r="D18" s="172" t="n">
        <v>133</v>
      </c>
      <c r="E18" s="172" t="n">
        <v>3245427</v>
      </c>
      <c r="F18" s="173" t="n">
        <v>4.0981</v>
      </c>
      <c r="G18" s="172" t="n">
        <v>4</v>
      </c>
      <c r="H18" s="172" t="n">
        <v>29</v>
      </c>
      <c r="I18" s="173" t="n">
        <v>17</v>
      </c>
    </row>
    <row r="19">
      <c r="A19" t="inlineStr">
        <is>
          <t>AL</t>
        </is>
      </c>
      <c r="B19" t="inlineStr">
        <is>
          <t>01</t>
        </is>
      </c>
      <c r="C19" t="inlineStr">
        <is>
          <t>Alabama</t>
        </is>
      </c>
      <c r="D19" s="172" t="n">
        <v>200</v>
      </c>
      <c r="E19" s="172" t="n">
        <v>4982202</v>
      </c>
      <c r="F19" s="173" t="n">
        <v>4.0143</v>
      </c>
      <c r="G19" s="172" t="n">
        <v>4</v>
      </c>
      <c r="H19" s="172" t="n">
        <v>42</v>
      </c>
      <c r="I19" s="173" t="n">
        <v>18</v>
      </c>
    </row>
    <row r="20">
      <c r="A20" t="inlineStr">
        <is>
          <t>KY</t>
        </is>
      </c>
      <c r="B20" t="inlineStr">
        <is>
          <t>21</t>
        </is>
      </c>
      <c r="C20" t="inlineStr">
        <is>
          <t>Kentucky</t>
        </is>
      </c>
      <c r="D20" s="172" t="n">
        <v>179</v>
      </c>
      <c r="E20" s="172" t="n">
        <v>4491711</v>
      </c>
      <c r="F20" s="173" t="n">
        <v>3.9851</v>
      </c>
      <c r="G20" s="172" t="n">
        <v>4</v>
      </c>
      <c r="H20" s="172" t="n">
        <v>20</v>
      </c>
      <c r="I20" s="173" t="n">
        <v>19</v>
      </c>
    </row>
    <row r="21">
      <c r="A21" t="inlineStr">
        <is>
          <t>OR</t>
        </is>
      </c>
      <c r="B21" t="inlineStr">
        <is>
          <t>41</t>
        </is>
      </c>
      <c r="C21" t="inlineStr">
        <is>
          <t>Oregon</t>
        </is>
      </c>
      <c r="D21" s="172" t="n">
        <v>166</v>
      </c>
      <c r="E21" s="172" t="n">
        <v>4190893</v>
      </c>
      <c r="F21" s="173" t="n">
        <v>3.961</v>
      </c>
      <c r="G21" s="172" t="n">
        <v>7</v>
      </c>
      <c r="H21" s="172" t="n">
        <v>44</v>
      </c>
      <c r="I21" s="173" t="n">
        <v>20</v>
      </c>
    </row>
    <row r="22">
      <c r="A22" t="inlineStr">
        <is>
          <t>SD</t>
        </is>
      </c>
      <c r="B22" t="inlineStr">
        <is>
          <t>46</t>
        </is>
      </c>
      <c r="C22" t="inlineStr">
        <is>
          <t>South Dakota</t>
        </is>
      </c>
      <c r="D22" s="172" t="n">
        <v>35</v>
      </c>
      <c r="E22" s="172" t="n">
        <v>889132</v>
      </c>
      <c r="F22" s="173" t="n">
        <v>3.9364</v>
      </c>
      <c r="G22" s="172" t="n">
        <v>1</v>
      </c>
      <c r="H22" s="172" t="n">
        <v>12</v>
      </c>
      <c r="I22" s="173" t="n">
        <v>21</v>
      </c>
    </row>
    <row r="23">
      <c r="A23" t="inlineStr">
        <is>
          <t>GA</t>
        </is>
      </c>
      <c r="B23" t="inlineStr">
        <is>
          <t>13</t>
        </is>
      </c>
      <c r="C23" t="inlineStr">
        <is>
          <t>Georgia</t>
        </is>
      </c>
      <c r="D23" s="172" t="n">
        <v>393</v>
      </c>
      <c r="E23" s="172" t="n">
        <v>10674272</v>
      </c>
      <c r="F23" s="173" t="n">
        <v>3.6817</v>
      </c>
      <c r="G23" s="172" t="n">
        <v>24</v>
      </c>
      <c r="H23" s="172" t="n">
        <v>63</v>
      </c>
      <c r="I23" s="173" t="n">
        <v>22</v>
      </c>
    </row>
    <row r="24">
      <c r="A24" t="inlineStr">
        <is>
          <t>WA</t>
        </is>
      </c>
      <c r="B24" t="inlineStr">
        <is>
          <t>53</t>
        </is>
      </c>
      <c r="C24" t="inlineStr">
        <is>
          <t>Washington</t>
        </is>
      </c>
      <c r="D24" s="172" t="n">
        <v>277</v>
      </c>
      <c r="E24" s="172" t="n">
        <v>7604512</v>
      </c>
      <c r="F24" s="173" t="n">
        <v>3.6426</v>
      </c>
      <c r="G24" s="172" t="n">
        <v>13</v>
      </c>
      <c r="H24" s="172" t="n">
        <v>70</v>
      </c>
      <c r="I24" s="173" t="n">
        <v>23</v>
      </c>
    </row>
    <row r="25">
      <c r="A25" t="inlineStr">
        <is>
          <t>ME</t>
        </is>
      </c>
      <c r="B25" t="inlineStr">
        <is>
          <t>23</t>
        </is>
      </c>
      <c r="C25" t="inlineStr">
        <is>
          <t>Maine</t>
        </is>
      </c>
      <c r="D25" s="172" t="n">
        <v>49</v>
      </c>
      <c r="E25" s="172" t="n">
        <v>1362303</v>
      </c>
      <c r="F25" s="173" t="n">
        <v>3.5969</v>
      </c>
      <c r="G25" s="172" t="n">
        <v>2</v>
      </c>
      <c r="H25" s="172" t="n">
        <v>8</v>
      </c>
      <c r="I25" s="173" t="n">
        <v>24</v>
      </c>
    </row>
    <row r="26">
      <c r="A26" t="inlineStr">
        <is>
          <t>CA</t>
        </is>
      </c>
      <c r="B26" t="inlineStr">
        <is>
          <t>06</t>
        </is>
      </c>
      <c r="C26" t="inlineStr">
        <is>
          <t>California</t>
        </is>
      </c>
      <c r="D26" s="172" t="n">
        <v>1405</v>
      </c>
      <c r="E26" s="172" t="n">
        <v>39276999</v>
      </c>
      <c r="F26" s="173" t="n">
        <v>3.5772</v>
      </c>
      <c r="G26" s="172" t="n">
        <v>103</v>
      </c>
      <c r="H26" s="172" t="n">
        <v>274</v>
      </c>
      <c r="I26" s="173" t="n">
        <v>25</v>
      </c>
    </row>
    <row r="27">
      <c r="A27" t="inlineStr">
        <is>
          <t>ND</t>
        </is>
      </c>
      <c r="B27" t="inlineStr">
        <is>
          <t>38</t>
        </is>
      </c>
      <c r="C27" t="inlineStr">
        <is>
          <t>North Dakota</t>
        </is>
      </c>
      <c r="D27" s="172" t="n">
        <v>27</v>
      </c>
      <c r="E27" s="172" t="n">
        <v>770182</v>
      </c>
      <c r="F27" s="173" t="n">
        <v>3.5057</v>
      </c>
      <c r="G27" s="172" t="n">
        <v>4</v>
      </c>
      <c r="H27" s="172" t="n">
        <v>6</v>
      </c>
      <c r="I27" s="173" t="n">
        <v>26</v>
      </c>
    </row>
    <row r="28">
      <c r="A28" t="inlineStr">
        <is>
          <t>TX</t>
        </is>
      </c>
      <c r="B28" t="inlineStr">
        <is>
          <t>48</t>
        </is>
      </c>
      <c r="C28" t="inlineStr">
        <is>
          <t>Texas</t>
        </is>
      </c>
      <c r="D28" s="172" t="n">
        <v>1010</v>
      </c>
      <c r="E28" s="172" t="n">
        <v>29227068</v>
      </c>
      <c r="F28" s="173" t="n">
        <v>3.4557</v>
      </c>
      <c r="G28" s="172" t="n">
        <v>63</v>
      </c>
      <c r="H28" s="172" t="n">
        <v>168</v>
      </c>
      <c r="I28" s="173" t="n">
        <v>27</v>
      </c>
    </row>
    <row r="29">
      <c r="A29" t="inlineStr">
        <is>
          <t>KS</t>
        </is>
      </c>
      <c r="B29" t="inlineStr">
        <is>
          <t>20</t>
        </is>
      </c>
      <c r="C29" t="inlineStr">
        <is>
          <t>Kansas</t>
        </is>
      </c>
      <c r="D29" s="172" t="n">
        <v>99</v>
      </c>
      <c r="E29" s="172" t="n">
        <v>2928352</v>
      </c>
      <c r="F29" s="173" t="n">
        <v>3.3807</v>
      </c>
      <c r="G29" s="172" t="n">
        <v>7</v>
      </c>
      <c r="H29" s="172" t="n">
        <v>20</v>
      </c>
      <c r="I29" s="173" t="n">
        <v>28</v>
      </c>
    </row>
    <row r="30">
      <c r="A30" t="inlineStr">
        <is>
          <t>SC</t>
        </is>
      </c>
      <c r="B30" t="inlineStr">
        <is>
          <t>45</t>
        </is>
      </c>
      <c r="C30" t="inlineStr">
        <is>
          <t>South Carolina</t>
        </is>
      </c>
      <c r="D30" s="172" t="n">
        <v>171</v>
      </c>
      <c r="E30" s="172" t="n">
        <v>5160045</v>
      </c>
      <c r="F30" s="173" t="n">
        <v>3.3139</v>
      </c>
      <c r="G30" s="172" t="n">
        <v>7</v>
      </c>
      <c r="H30" s="172" t="n">
        <v>30</v>
      </c>
      <c r="I30" s="173" t="n">
        <v>29</v>
      </c>
    </row>
    <row r="31">
      <c r="A31" t="inlineStr">
        <is>
          <t>HI</t>
        </is>
      </c>
      <c r="B31" t="inlineStr">
        <is>
          <t>15</t>
        </is>
      </c>
      <c r="C31" t="inlineStr">
        <is>
          <t>Hawaii</t>
        </is>
      </c>
      <c r="D31" s="172" t="n">
        <v>47</v>
      </c>
      <c r="E31" s="172" t="n">
        <v>1431622</v>
      </c>
      <c r="F31" s="173" t="n">
        <v>3.283</v>
      </c>
      <c r="G31" s="172" t="n">
        <v>4</v>
      </c>
      <c r="H31" s="172" t="n">
        <v>8</v>
      </c>
      <c r="I31" s="173" t="n">
        <v>30</v>
      </c>
    </row>
    <row r="32">
      <c r="A32" t="inlineStr">
        <is>
          <t>IN</t>
        </is>
      </c>
      <c r="B32" t="inlineStr">
        <is>
          <t>18</t>
        </is>
      </c>
      <c r="C32" t="inlineStr">
        <is>
          <t>Indiana</t>
        </is>
      </c>
      <c r="D32" s="172" t="n">
        <v>214</v>
      </c>
      <c r="E32" s="172" t="n">
        <v>6759065</v>
      </c>
      <c r="F32" s="173" t="n">
        <v>3.1661</v>
      </c>
      <c r="G32" s="172" t="n">
        <v>5</v>
      </c>
      <c r="H32" s="172" t="n">
        <v>49</v>
      </c>
      <c r="I32" s="173" t="n">
        <v>31</v>
      </c>
    </row>
    <row r="33">
      <c r="A33" t="inlineStr">
        <is>
          <t>FL</t>
        </is>
      </c>
      <c r="B33" t="inlineStr">
        <is>
          <t>12</t>
        </is>
      </c>
      <c r="C33" t="inlineStr">
        <is>
          <t>Florida</t>
        </is>
      </c>
      <c r="D33" s="172" t="n">
        <v>672</v>
      </c>
      <c r="E33" s="172" t="n">
        <v>21654528</v>
      </c>
      <c r="F33" s="173" t="n">
        <v>3.1033</v>
      </c>
      <c r="G33" s="172" t="n">
        <v>41</v>
      </c>
      <c r="H33" s="172" t="n">
        <v>166</v>
      </c>
      <c r="I33" s="173" t="n">
        <v>32</v>
      </c>
    </row>
    <row r="34">
      <c r="A34" t="inlineStr">
        <is>
          <t>NC</t>
        </is>
      </c>
      <c r="B34" t="inlineStr">
        <is>
          <t>37</t>
        </is>
      </c>
      <c r="C34" t="inlineStr">
        <is>
          <t>North Carolina</t>
        </is>
      </c>
      <c r="D34" s="172" t="n">
        <v>310</v>
      </c>
      <c r="E34" s="172" t="n">
        <v>10496976</v>
      </c>
      <c r="F34" s="173" t="n">
        <v>2.9532</v>
      </c>
      <c r="G34" s="172" t="n">
        <v>13</v>
      </c>
      <c r="H34" s="172" t="n">
        <v>64</v>
      </c>
      <c r="I34" s="173" t="n">
        <v>33</v>
      </c>
    </row>
    <row r="35">
      <c r="A35" t="inlineStr">
        <is>
          <t>WI</t>
        </is>
      </c>
      <c r="B35" t="inlineStr">
        <is>
          <t>55</t>
        </is>
      </c>
      <c r="C35" t="inlineStr">
        <is>
          <t>Wisconsin</t>
        </is>
      </c>
      <c r="D35" s="172" t="n">
        <v>163</v>
      </c>
      <c r="E35" s="172" t="n">
        <v>5852408</v>
      </c>
      <c r="F35" s="173" t="n">
        <v>2.7852</v>
      </c>
      <c r="G35" s="172" t="n">
        <v>6</v>
      </c>
      <c r="H35" s="172" t="n">
        <v>38</v>
      </c>
      <c r="I35" s="173" t="n">
        <v>34</v>
      </c>
    </row>
    <row r="36">
      <c r="A36" t="inlineStr">
        <is>
          <t>OH</t>
        </is>
      </c>
      <c r="B36" t="inlineStr">
        <is>
          <t>39</t>
        </is>
      </c>
      <c r="C36" t="inlineStr">
        <is>
          <t>Ohio</t>
        </is>
      </c>
      <c r="D36" s="172" t="n">
        <v>305</v>
      </c>
      <c r="E36" s="172" t="n">
        <v>11727093</v>
      </c>
      <c r="F36" s="173" t="n">
        <v>2.6008</v>
      </c>
      <c r="G36" s="172" t="n">
        <v>20</v>
      </c>
      <c r="H36" s="172" t="n">
        <v>72</v>
      </c>
      <c r="I36" s="173" t="n">
        <v>35</v>
      </c>
    </row>
    <row r="37">
      <c r="A37" t="inlineStr">
        <is>
          <t>NE</t>
        </is>
      </c>
      <c r="B37" t="inlineStr">
        <is>
          <t>31</t>
        </is>
      </c>
      <c r="C37" t="inlineStr">
        <is>
          <t>Nebraska</t>
        </is>
      </c>
      <c r="D37" s="172" t="n">
        <v>49</v>
      </c>
      <c r="E37" s="172" t="n">
        <v>1946724</v>
      </c>
      <c r="F37" s="173" t="n">
        <v>2.517</v>
      </c>
      <c r="G37" s="172" t="n">
        <v>4</v>
      </c>
      <c r="H37" s="172" t="n">
        <v>11</v>
      </c>
      <c r="I37" s="173" t="n">
        <v>36</v>
      </c>
    </row>
    <row r="38">
      <c r="A38" t="inlineStr">
        <is>
          <t>NH</t>
        </is>
      </c>
      <c r="B38" t="inlineStr">
        <is>
          <t>33</t>
        </is>
      </c>
      <c r="C38" t="inlineStr">
        <is>
          <t>New Hampshire</t>
        </is>
      </c>
      <c r="D38" s="172" t="n">
        <v>33</v>
      </c>
      <c r="E38" s="172" t="n">
        <v>1371397</v>
      </c>
      <c r="F38" s="173" t="n">
        <v>2.4063</v>
      </c>
      <c r="G38" s="172" t="n">
        <v>1</v>
      </c>
      <c r="H38" s="172" t="n">
        <v>14</v>
      </c>
      <c r="I38" s="173" t="n">
        <v>37</v>
      </c>
    </row>
    <row r="39">
      <c r="A39" t="inlineStr">
        <is>
          <t>VT</t>
        </is>
      </c>
      <c r="B39" t="inlineStr">
        <is>
          <t>50</t>
        </is>
      </c>
      <c r="C39" t="inlineStr">
        <is>
          <t>Vermont</t>
        </is>
      </c>
      <c r="D39" s="172" t="n">
        <v>15</v>
      </c>
      <c r="E39" s="172" t="n">
        <v>635362</v>
      </c>
      <c r="F39" s="173" t="n">
        <v>2.3609</v>
      </c>
      <c r="G39" s="172" t="n">
        <v>2</v>
      </c>
      <c r="H39" s="172" t="n">
        <v>6</v>
      </c>
      <c r="I39" s="173" t="n">
        <v>38</v>
      </c>
    </row>
    <row r="40">
      <c r="A40" t="inlineStr">
        <is>
          <t>VA</t>
        </is>
      </c>
      <c r="B40" t="inlineStr">
        <is>
          <t>51</t>
        </is>
      </c>
      <c r="C40" t="inlineStr">
        <is>
          <t>Virginia</t>
        </is>
      </c>
      <c r="D40" s="172" t="n">
        <v>199</v>
      </c>
      <c r="E40" s="172" t="n">
        <v>8580233</v>
      </c>
      <c r="F40" s="173" t="n">
        <v>2.3193</v>
      </c>
      <c r="G40" s="172" t="n">
        <v>11</v>
      </c>
      <c r="H40" s="172" t="n">
        <v>43</v>
      </c>
      <c r="I40" s="173" t="n">
        <v>39</v>
      </c>
    </row>
    <row r="41">
      <c r="A41" t="inlineStr">
        <is>
          <t>DE</t>
        </is>
      </c>
      <c r="B41" t="inlineStr">
        <is>
          <t>10</t>
        </is>
      </c>
      <c r="C41" t="inlineStr">
        <is>
          <t>Delaware</t>
        </is>
      </c>
      <c r="D41" s="172" t="n">
        <v>22</v>
      </c>
      <c r="E41" s="172" t="n">
        <v>988902</v>
      </c>
      <c r="F41" s="173" t="n">
        <v>2.2247</v>
      </c>
      <c r="G41" s="172" t="n">
        <v>0</v>
      </c>
      <c r="H41" s="172" t="n">
        <v>4</v>
      </c>
      <c r="I41" s="173" t="n">
        <v>40</v>
      </c>
    </row>
    <row r="42">
      <c r="A42" t="inlineStr">
        <is>
          <t>MD</t>
        </is>
      </c>
      <c r="B42" t="inlineStr">
        <is>
          <t>24</t>
        </is>
      </c>
      <c r="C42" t="inlineStr">
        <is>
          <t>Maryland</t>
        </is>
      </c>
      <c r="D42" s="172" t="n">
        <v>129</v>
      </c>
      <c r="E42" s="172" t="n">
        <v>6108216</v>
      </c>
      <c r="F42" s="173" t="n">
        <v>2.1119</v>
      </c>
      <c r="G42" s="172" t="n">
        <v>10</v>
      </c>
      <c r="H42" s="172" t="n">
        <v>34</v>
      </c>
      <c r="I42" s="173" t="n">
        <v>41</v>
      </c>
    </row>
    <row r="43">
      <c r="A43" t="inlineStr">
        <is>
          <t>IA</t>
        </is>
      </c>
      <c r="B43" t="inlineStr">
        <is>
          <t>19</t>
        </is>
      </c>
      <c r="C43" t="inlineStr">
        <is>
          <t>Iowa</t>
        </is>
      </c>
      <c r="D43" s="172" t="n">
        <v>63</v>
      </c>
      <c r="E43" s="172" t="n">
        <v>3173477</v>
      </c>
      <c r="F43" s="173" t="n">
        <v>1.9852</v>
      </c>
      <c r="G43" s="172" t="n">
        <v>2</v>
      </c>
      <c r="H43" s="172" t="n">
        <v>12</v>
      </c>
      <c r="I43" s="173" t="n">
        <v>42</v>
      </c>
    </row>
    <row r="44">
      <c r="A44" t="inlineStr">
        <is>
          <t>MN</t>
        </is>
      </c>
      <c r="B44" t="inlineStr">
        <is>
          <t>27</t>
        </is>
      </c>
      <c r="C44" t="inlineStr">
        <is>
          <t>Minnesota</t>
        </is>
      </c>
      <c r="D44" s="172" t="n">
        <v>107</v>
      </c>
      <c r="E44" s="172" t="n">
        <v>5651947</v>
      </c>
      <c r="F44" s="173" t="n">
        <v>1.8932</v>
      </c>
      <c r="G44" s="172" t="n">
        <v>8</v>
      </c>
      <c r="H44" s="172" t="n">
        <v>29</v>
      </c>
      <c r="I44" s="173" t="n">
        <v>43</v>
      </c>
    </row>
    <row r="45">
      <c r="A45" t="inlineStr">
        <is>
          <t>MI</t>
        </is>
      </c>
      <c r="B45" t="inlineStr">
        <is>
          <t>26</t>
        </is>
      </c>
      <c r="C45" t="inlineStr">
        <is>
          <t>Michigan</t>
        </is>
      </c>
      <c r="D45" s="172" t="n">
        <v>187</v>
      </c>
      <c r="E45" s="172" t="n">
        <v>10014698</v>
      </c>
      <c r="F45" s="173" t="n">
        <v>1.8673</v>
      </c>
      <c r="G45" s="172" t="n">
        <v>12</v>
      </c>
      <c r="H45" s="172" t="n">
        <v>49</v>
      </c>
      <c r="I45" s="173" t="n">
        <v>44</v>
      </c>
    </row>
    <row r="46">
      <c r="A46" t="inlineStr">
        <is>
          <t>PA</t>
        </is>
      </c>
      <c r="B46" t="inlineStr">
        <is>
          <t>42</t>
        </is>
      </c>
      <c r="C46" t="inlineStr">
        <is>
          <t>Pennsylvania</t>
        </is>
      </c>
      <c r="D46" s="172" t="n">
        <v>227</v>
      </c>
      <c r="E46" s="172" t="n">
        <v>12900977</v>
      </c>
      <c r="F46" s="173" t="n">
        <v>1.7596</v>
      </c>
      <c r="G46" s="172" t="n">
        <v>14</v>
      </c>
      <c r="H46" s="172" t="n">
        <v>52</v>
      </c>
      <c r="I46" s="173" t="n">
        <v>45</v>
      </c>
    </row>
    <row r="47">
      <c r="A47" t="inlineStr">
        <is>
          <t>IL</t>
        </is>
      </c>
      <c r="B47" t="inlineStr">
        <is>
          <t>17</t>
        </is>
      </c>
      <c r="C47" t="inlineStr">
        <is>
          <t>Illinois</t>
        </is>
      </c>
      <c r="D47" s="172" t="n">
        <v>212</v>
      </c>
      <c r="E47" s="172" t="n">
        <v>12729786</v>
      </c>
      <c r="F47" s="173" t="n">
        <v>1.6654</v>
      </c>
      <c r="G47" s="172" t="n">
        <v>10</v>
      </c>
      <c r="H47" s="172" t="n">
        <v>35</v>
      </c>
      <c r="I47" s="173" t="n">
        <v>46</v>
      </c>
    </row>
    <row r="48">
      <c r="A48" t="inlineStr">
        <is>
          <t>NJ</t>
        </is>
      </c>
      <c r="B48" t="inlineStr">
        <is>
          <t>34</t>
        </is>
      </c>
      <c r="C48" t="inlineStr">
        <is>
          <t>New Jersey</t>
        </is>
      </c>
      <c r="D48" s="172" t="n">
        <v>108</v>
      </c>
      <c r="E48" s="172" t="n">
        <v>9112957</v>
      </c>
      <c r="F48" s="173" t="n">
        <v>1.1851</v>
      </c>
      <c r="G48" s="172" t="n">
        <v>3</v>
      </c>
      <c r="H48" s="172" t="n">
        <v>22</v>
      </c>
      <c r="I48" s="173" t="n">
        <v>47</v>
      </c>
    </row>
    <row r="49">
      <c r="A49" t="inlineStr">
        <is>
          <t>NY</t>
        </is>
      </c>
      <c r="B49" t="inlineStr">
        <is>
          <t>36</t>
        </is>
      </c>
      <c r="C49" t="inlineStr">
        <is>
          <t>New York</t>
        </is>
      </c>
      <c r="D49" s="172" t="n">
        <v>199</v>
      </c>
      <c r="E49" s="172" t="n">
        <v>19732017</v>
      </c>
      <c r="F49" s="173" t="n">
        <v>1.0085</v>
      </c>
      <c r="G49" s="172" t="n">
        <v>5</v>
      </c>
      <c r="H49" s="172" t="n">
        <v>63</v>
      </c>
      <c r="I49" s="173" t="n">
        <v>48</v>
      </c>
    </row>
    <row r="50">
      <c r="A50" t="inlineStr">
        <is>
          <t>CT</t>
        </is>
      </c>
      <c r="B50" t="inlineStr">
        <is>
          <t>09</t>
        </is>
      </c>
      <c r="C50" t="inlineStr">
        <is>
          <t>Connecticut</t>
        </is>
      </c>
      <c r="D50" s="172" t="n">
        <v>32</v>
      </c>
      <c r="E50" s="172" t="n">
        <v>3599730</v>
      </c>
      <c r="F50" s="173" t="n">
        <v>0.889</v>
      </c>
      <c r="G50" s="172" t="n">
        <v>3</v>
      </c>
      <c r="H50" s="172" t="n">
        <v>6</v>
      </c>
      <c r="I50" s="173" t="n">
        <v>49</v>
      </c>
    </row>
    <row r="51">
      <c r="A51" t="inlineStr">
        <is>
          <t>MA</t>
        </is>
      </c>
      <c r="B51" t="inlineStr">
        <is>
          <t>25</t>
        </is>
      </c>
      <c r="C51" t="inlineStr">
        <is>
          <t>Massachusetts</t>
        </is>
      </c>
      <c r="D51" s="172" t="n">
        <v>61</v>
      </c>
      <c r="E51" s="172" t="n">
        <v>6947231</v>
      </c>
      <c r="F51" s="173" t="n">
        <v>0.878</v>
      </c>
      <c r="G51" s="172" t="n">
        <v>2</v>
      </c>
      <c r="H51" s="172" t="n">
        <v>19</v>
      </c>
      <c r="I51" s="173" t="n">
        <v>50</v>
      </c>
    </row>
    <row r="52">
      <c r="A52" t="inlineStr">
        <is>
          <t>RI</t>
        </is>
      </c>
      <c r="B52" t="inlineStr">
        <is>
          <t>44</t>
        </is>
      </c>
      <c r="C52" t="inlineStr">
        <is>
          <t>Rhode Island</t>
        </is>
      </c>
      <c r="D52" s="172" t="n">
        <v>8</v>
      </c>
      <c r="E52" s="172" t="n">
        <v>1078990</v>
      </c>
      <c r="F52" s="173" t="n">
        <v>0.7413999999999999</v>
      </c>
      <c r="G52" s="172" t="n">
        <v>0</v>
      </c>
      <c r="H52" s="172" t="n">
        <v>1</v>
      </c>
      <c r="I52" s="173" t="n">
        <v>51</v>
      </c>
    </row>
  </sheetData>
  <conditionalFormatting sqref="F2:F52">
    <cfRule type="colorScale" priority="1">
      <colorScale>
        <cfvo type="min"/>
        <cfvo type="percentile" val="50"/>
        <cfvo type="max"/>
        <color rgb="00E0F2FE"/>
        <color rgb="00FEF3C7"/>
        <color rgb="00FEE2E2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18" customWidth="1" style="16" min="12" max="12"/>
    <col width="16" customWidth="1" style="16" min="13" max="13"/>
    <col width="16" customWidth="1" style="16" min="14" max="14"/>
    <col width="16" customWidth="1" style="16" min="15" max="15"/>
    <col width="16" customWidth="1" style="16" min="16" max="16"/>
    <col width="16" customWidth="1" style="16" min="17" max="17"/>
    <col width="16" customWidth="1" style="16" min="18" max="18"/>
    <col width="16" customWidth="1" style="16" min="19" max="19"/>
    <col width="16" customWidth="1" style="16" min="20" max="20"/>
  </cols>
  <sheetData>
    <row r="1">
      <c r="A1" s="6" t="inlineStr">
        <is>
          <t>year</t>
        </is>
      </c>
      <c r="B1" s="6" t="inlineStr">
        <is>
          <t>state_abbr</t>
        </is>
      </c>
      <c r="C1" s="6" t="inlineStr">
        <is>
          <t>state_fips</t>
        </is>
      </c>
      <c r="D1" s="6" t="inlineStr">
        <is>
          <t>state_name</t>
        </is>
      </c>
      <c r="E1" s="6" t="inlineStr">
        <is>
          <t>fatal_shootings</t>
        </is>
      </c>
      <c r="F1" s="6" t="inlineStr">
        <is>
          <t>population</t>
        </is>
      </c>
      <c r="G1" s="6" t="inlineStr">
        <is>
          <t>fatal_shootings_per_100k</t>
        </is>
      </c>
      <c r="H1" s="6" t="inlineStr">
        <is>
          <t>fatal_shootings_per_1m</t>
        </is>
      </c>
      <c r="I1" s="6" t="inlineStr">
        <is>
          <t>unarmed_count</t>
        </is>
      </c>
      <c r="J1" s="6" t="inlineStr">
        <is>
          <t>unarmed_per_1m</t>
        </is>
      </c>
      <c r="K1" s="6" t="inlineStr">
        <is>
          <t>armed_with_gun_count</t>
        </is>
      </c>
      <c r="L1" s="6" t="inlineStr">
        <is>
          <t>armed_with_gun_per_1m</t>
        </is>
      </c>
      <c r="M1" s="6" t="inlineStr">
        <is>
          <t>mental_illness_related_count</t>
        </is>
      </c>
      <c r="N1" s="6" t="inlineStr">
        <is>
          <t>mental_illness_related_per_1m</t>
        </is>
      </c>
      <c r="O1" s="6" t="inlineStr">
        <is>
          <t>body_camera_count</t>
        </is>
      </c>
      <c r="P1" s="6" t="inlineStr">
        <is>
          <t>body_camera_per_1m</t>
        </is>
      </c>
      <c r="Q1" s="6" t="inlineStr">
        <is>
          <t>race_known_count</t>
        </is>
      </c>
      <c r="R1" s="6" t="inlineStr">
        <is>
          <t>race_missing_count</t>
        </is>
      </c>
      <c r="S1" s="6" t="inlineStr">
        <is>
          <t>population_source_vintage</t>
        </is>
      </c>
      <c r="T1" s="6" t="inlineStr">
        <is>
          <t>population_source_url</t>
        </is>
      </c>
    </row>
    <row r="2">
      <c r="A2" s="172" t="n">
        <v>2015</v>
      </c>
      <c r="B2" t="inlineStr">
        <is>
          <t>AK</t>
        </is>
      </c>
      <c r="C2" t="inlineStr">
        <is>
          <t>02</t>
        </is>
      </c>
      <c r="D2" t="inlineStr">
        <is>
          <t>Alaska</t>
        </is>
      </c>
      <c r="E2" s="172" t="n">
        <v>4</v>
      </c>
      <c r="F2" s="172" t="n">
        <v>737498</v>
      </c>
      <c r="G2" s="172" t="n">
        <v>0.5424</v>
      </c>
      <c r="H2" s="172" t="n">
        <v>5.4237</v>
      </c>
      <c r="I2" s="172" t="n">
        <v>0</v>
      </c>
      <c r="J2" t="n">
        <v>0</v>
      </c>
      <c r="K2" s="172" t="n">
        <v>3</v>
      </c>
      <c r="L2" t="n">
        <v>4.0678</v>
      </c>
      <c r="M2" s="172" t="n">
        <v>0</v>
      </c>
      <c r="N2" t="n">
        <v>0</v>
      </c>
      <c r="O2" s="172" t="n">
        <v>0</v>
      </c>
      <c r="P2" t="n">
        <v>0</v>
      </c>
      <c r="Q2" s="172" t="n">
        <v>4</v>
      </c>
      <c r="R2" s="172" t="n">
        <v>0</v>
      </c>
      <c r="S2" s="172" t="inlineStr">
        <is>
          <t>Census PEP Vintage 2019</t>
        </is>
      </c>
      <c r="T2" s="172" t="inlineStr">
        <is>
          <t>https://www2.census.gov/programs-surveys/popest/datasets/2010-2019/national/totals/nst-est2019-alldata.csv</t>
        </is>
      </c>
    </row>
    <row r="3">
      <c r="A3" s="172" t="n">
        <v>2015</v>
      </c>
      <c r="B3" t="inlineStr">
        <is>
          <t>AL</t>
        </is>
      </c>
      <c r="C3" t="inlineStr">
        <is>
          <t>01</t>
        </is>
      </c>
      <c r="D3" t="inlineStr">
        <is>
          <t>Alabama</t>
        </is>
      </c>
      <c r="E3" s="172" t="n">
        <v>17</v>
      </c>
      <c r="F3" s="172" t="n">
        <v>4852347</v>
      </c>
      <c r="G3" s="172" t="n">
        <v>0.3503</v>
      </c>
      <c r="H3" s="172" t="n">
        <v>3.5035</v>
      </c>
      <c r="I3" s="172" t="n">
        <v>1</v>
      </c>
      <c r="J3" t="n">
        <v>0.2061</v>
      </c>
      <c r="K3" s="172" t="n">
        <v>12</v>
      </c>
      <c r="L3" t="n">
        <v>2.473</v>
      </c>
      <c r="M3" s="172" t="n">
        <v>8</v>
      </c>
      <c r="N3" t="n">
        <v>1.6487</v>
      </c>
      <c r="O3" s="172" t="n">
        <v>3</v>
      </c>
      <c r="P3" t="n">
        <v>0.6183</v>
      </c>
      <c r="Q3" s="172" t="n">
        <v>17</v>
      </c>
      <c r="R3" s="172" t="n">
        <v>0</v>
      </c>
      <c r="S3" s="172" t="inlineStr">
        <is>
          <t>Census PEP Vintage 2019</t>
        </is>
      </c>
      <c r="T3" s="172" t="inlineStr">
        <is>
          <t>https://www2.census.gov/programs-surveys/popest/datasets/2010-2019/national/totals/nst-est2019-alldata.csv</t>
        </is>
      </c>
    </row>
    <row r="4">
      <c r="A4" s="172" t="n">
        <v>2015</v>
      </c>
      <c r="B4" t="inlineStr">
        <is>
          <t>AR</t>
        </is>
      </c>
      <c r="C4" t="inlineStr">
        <is>
          <t>05</t>
        </is>
      </c>
      <c r="D4" t="inlineStr">
        <is>
          <t>Arkansas</t>
        </is>
      </c>
      <c r="E4" s="172" t="n">
        <v>5</v>
      </c>
      <c r="F4" s="172" t="n">
        <v>2978048</v>
      </c>
      <c r="G4" s="172" t="n">
        <v>0.1679</v>
      </c>
      <c r="H4" s="172" t="n">
        <v>1.679</v>
      </c>
      <c r="I4" s="172" t="n">
        <v>1</v>
      </c>
      <c r="J4" t="n">
        <v>0.3358</v>
      </c>
      <c r="K4" s="172" t="n">
        <v>2</v>
      </c>
      <c r="L4" t="n">
        <v>0.6716</v>
      </c>
      <c r="M4" s="172" t="n">
        <v>1</v>
      </c>
      <c r="N4" t="n">
        <v>0.3358</v>
      </c>
      <c r="O4" s="172" t="n">
        <v>0</v>
      </c>
      <c r="P4" t="n">
        <v>0</v>
      </c>
      <c r="Q4" s="172" t="n">
        <v>5</v>
      </c>
      <c r="R4" s="172" t="n">
        <v>0</v>
      </c>
      <c r="S4" s="172" t="inlineStr">
        <is>
          <t>Census PEP Vintage 2019</t>
        </is>
      </c>
      <c r="T4" s="172" t="inlineStr">
        <is>
          <t>https://www2.census.gov/programs-surveys/popest/datasets/2010-2019/national/totals/nst-est2019-alldata.csv</t>
        </is>
      </c>
    </row>
    <row r="5">
      <c r="A5" s="172" t="n">
        <v>2015</v>
      </c>
      <c r="B5" t="inlineStr">
        <is>
          <t>AZ</t>
        </is>
      </c>
      <c r="C5" t="inlineStr">
        <is>
          <t>04</t>
        </is>
      </c>
      <c r="D5" t="inlineStr">
        <is>
          <t>Arizona</t>
        </is>
      </c>
      <c r="E5" s="172" t="n">
        <v>42</v>
      </c>
      <c r="F5" s="172" t="n">
        <v>6829676</v>
      </c>
      <c r="G5" s="172" t="n">
        <v>0.615</v>
      </c>
      <c r="H5" s="172" t="n">
        <v>6.1496</v>
      </c>
      <c r="I5" s="172" t="n">
        <v>3</v>
      </c>
      <c r="J5" t="n">
        <v>0.4393</v>
      </c>
      <c r="K5" s="172" t="n">
        <v>25</v>
      </c>
      <c r="L5" t="n">
        <v>3.6605</v>
      </c>
      <c r="M5" s="172" t="n">
        <v>12</v>
      </c>
      <c r="N5" t="n">
        <v>1.757</v>
      </c>
      <c r="O5" s="172" t="n">
        <v>2</v>
      </c>
      <c r="P5" t="n">
        <v>0.2928</v>
      </c>
      <c r="Q5" s="172" t="n">
        <v>42</v>
      </c>
      <c r="R5" s="172" t="n">
        <v>0</v>
      </c>
      <c r="S5" s="172" t="inlineStr">
        <is>
          <t>Census PEP Vintage 2019</t>
        </is>
      </c>
      <c r="T5" s="172" t="inlineStr">
        <is>
          <t>https://www2.census.gov/programs-surveys/popest/datasets/2010-2019/national/totals/nst-est2019-alldata.csv</t>
        </is>
      </c>
    </row>
    <row r="6">
      <c r="A6" s="172" t="n">
        <v>2015</v>
      </c>
      <c r="B6" t="inlineStr">
        <is>
          <t>CA</t>
        </is>
      </c>
      <c r="C6" t="inlineStr">
        <is>
          <t>06</t>
        </is>
      </c>
      <c r="D6" t="inlineStr">
        <is>
          <t>California</t>
        </is>
      </c>
      <c r="E6" s="172" t="n">
        <v>190</v>
      </c>
      <c r="F6" s="172" t="n">
        <v>38918045</v>
      </c>
      <c r="G6" s="172" t="n">
        <v>0.4882</v>
      </c>
      <c r="H6" s="172" t="n">
        <v>4.8821</v>
      </c>
      <c r="I6" s="172" t="n">
        <v>23</v>
      </c>
      <c r="J6" t="n">
        <v>0.591</v>
      </c>
      <c r="K6" s="172" t="n">
        <v>74</v>
      </c>
      <c r="L6" t="n">
        <v>1.9014</v>
      </c>
      <c r="M6" s="172" t="n">
        <v>53</v>
      </c>
      <c r="N6" t="n">
        <v>1.3618</v>
      </c>
      <c r="O6" s="172" t="n">
        <v>21</v>
      </c>
      <c r="P6" t="n">
        <v>0.5396</v>
      </c>
      <c r="Q6" s="172" t="n">
        <v>186</v>
      </c>
      <c r="R6" s="172" t="n">
        <v>4</v>
      </c>
      <c r="S6" s="172" t="inlineStr">
        <is>
          <t>Census PEP Vintage 2019</t>
        </is>
      </c>
      <c r="T6" s="172" t="inlineStr">
        <is>
          <t>https://www2.census.gov/programs-surveys/popest/datasets/2010-2019/national/totals/nst-est2019-alldata.csv</t>
        </is>
      </c>
    </row>
    <row r="7">
      <c r="A7" s="172" t="n">
        <v>2015</v>
      </c>
      <c r="B7" t="inlineStr">
        <is>
          <t>CO</t>
        </is>
      </c>
      <c r="C7" t="inlineStr">
        <is>
          <t>08</t>
        </is>
      </c>
      <c r="D7" t="inlineStr">
        <is>
          <t>Colorado</t>
        </is>
      </c>
      <c r="E7" s="172" t="n">
        <v>29</v>
      </c>
      <c r="F7" s="172" t="n">
        <v>5450623</v>
      </c>
      <c r="G7" s="172" t="n">
        <v>0.532</v>
      </c>
      <c r="H7" s="172" t="n">
        <v>5.3205</v>
      </c>
      <c r="I7" s="172" t="n">
        <v>1</v>
      </c>
      <c r="J7" t="n">
        <v>0.1835</v>
      </c>
      <c r="K7" s="172" t="n">
        <v>19</v>
      </c>
      <c r="L7" t="n">
        <v>3.4858</v>
      </c>
      <c r="M7" s="172" t="n">
        <v>5</v>
      </c>
      <c r="N7" t="n">
        <v>0.9173</v>
      </c>
      <c r="O7" s="172" t="n">
        <v>1</v>
      </c>
      <c r="P7" t="n">
        <v>0.1835</v>
      </c>
      <c r="Q7" s="172" t="n">
        <v>28</v>
      </c>
      <c r="R7" s="172" t="n">
        <v>1</v>
      </c>
      <c r="S7" s="172" t="inlineStr">
        <is>
          <t>Census PEP Vintage 2019</t>
        </is>
      </c>
      <c r="T7" s="172" t="inlineStr">
        <is>
          <t>https://www2.census.gov/programs-surveys/popest/datasets/2010-2019/national/totals/nst-est2019-alldata.csv</t>
        </is>
      </c>
    </row>
    <row r="8">
      <c r="A8" s="172" t="n">
        <v>2015</v>
      </c>
      <c r="B8" t="inlineStr">
        <is>
          <t>CT</t>
        </is>
      </c>
      <c r="C8" t="inlineStr">
        <is>
          <t>09</t>
        </is>
      </c>
      <c r="D8" t="inlineStr">
        <is>
          <t>Connecticut</t>
        </is>
      </c>
      <c r="E8" s="172" t="n">
        <v>2</v>
      </c>
      <c r="F8" s="172" t="n">
        <v>3587122</v>
      </c>
      <c r="G8" s="172" t="n">
        <v>0.0558</v>
      </c>
      <c r="H8" s="172" t="n">
        <v>0.5576</v>
      </c>
      <c r="I8" s="172" t="n">
        <v>0</v>
      </c>
      <c r="J8" t="n">
        <v>0</v>
      </c>
      <c r="K8" s="172" t="n">
        <v>1</v>
      </c>
      <c r="L8" t="n">
        <v>0.2788</v>
      </c>
      <c r="M8" s="172" t="n">
        <v>0</v>
      </c>
      <c r="N8" t="n">
        <v>0</v>
      </c>
      <c r="O8" s="172" t="n">
        <v>0</v>
      </c>
      <c r="P8" t="n">
        <v>0</v>
      </c>
      <c r="Q8" s="172" t="n">
        <v>2</v>
      </c>
      <c r="R8" s="172" t="n">
        <v>0</v>
      </c>
      <c r="S8" s="172" t="inlineStr">
        <is>
          <t>Census PEP Vintage 2019</t>
        </is>
      </c>
      <c r="T8" s="172" t="inlineStr">
        <is>
          <t>https://www2.census.gov/programs-surveys/popest/datasets/2010-2019/national/totals/nst-est2019-alldata.csv</t>
        </is>
      </c>
    </row>
    <row r="9">
      <c r="A9" s="172" t="n">
        <v>2015</v>
      </c>
      <c r="B9" t="inlineStr">
        <is>
          <t>DC</t>
        </is>
      </c>
      <c r="C9" t="inlineStr">
        <is>
          <t>11</t>
        </is>
      </c>
      <c r="D9" t="inlineStr">
        <is>
          <t>District of Columbia</t>
        </is>
      </c>
      <c r="E9" s="172" t="n">
        <v>4</v>
      </c>
      <c r="F9" s="172" t="n">
        <v>675400</v>
      </c>
      <c r="G9" s="172" t="n">
        <v>0.5921999999999999</v>
      </c>
      <c r="H9" s="172" t="n">
        <v>5.9224</v>
      </c>
      <c r="I9" s="172" t="n">
        <v>1</v>
      </c>
      <c r="J9" t="n">
        <v>1.4806</v>
      </c>
      <c r="K9" s="172" t="n">
        <v>2</v>
      </c>
      <c r="L9" t="n">
        <v>2.9612</v>
      </c>
      <c r="M9" s="172" t="n">
        <v>1</v>
      </c>
      <c r="N9" t="n">
        <v>1.4806</v>
      </c>
      <c r="O9" s="172" t="n">
        <v>0</v>
      </c>
      <c r="P9" t="n">
        <v>0</v>
      </c>
      <c r="Q9" s="172" t="n">
        <v>4</v>
      </c>
      <c r="R9" s="172" t="n">
        <v>0</v>
      </c>
      <c r="S9" s="172" t="inlineStr">
        <is>
          <t>Census PEP Vintage 2019</t>
        </is>
      </c>
      <c r="T9" s="172" t="inlineStr">
        <is>
          <t>https://www2.census.gov/programs-surveys/popest/datasets/2010-2019/national/totals/nst-est2019-alldata.csv</t>
        </is>
      </c>
    </row>
    <row r="10">
      <c r="A10" s="172" t="n">
        <v>2015</v>
      </c>
      <c r="B10" t="inlineStr">
        <is>
          <t>DE</t>
        </is>
      </c>
      <c r="C10" t="inlineStr">
        <is>
          <t>10</t>
        </is>
      </c>
      <c r="D10" t="inlineStr">
        <is>
          <t>Delaware</t>
        </is>
      </c>
      <c r="E10" s="172" t="n">
        <v>3</v>
      </c>
      <c r="F10" s="172" t="n">
        <v>941252</v>
      </c>
      <c r="G10" s="172" t="n">
        <v>0.3187</v>
      </c>
      <c r="H10" s="172" t="n">
        <v>3.1872</v>
      </c>
      <c r="I10" s="172" t="n">
        <v>0</v>
      </c>
      <c r="J10" t="n">
        <v>0</v>
      </c>
      <c r="K10" s="172" t="n">
        <v>2</v>
      </c>
      <c r="L10" t="n">
        <v>2.1248</v>
      </c>
      <c r="M10" s="172" t="n">
        <v>1</v>
      </c>
      <c r="N10" t="n">
        <v>1.0624</v>
      </c>
      <c r="O10" s="172" t="n">
        <v>1</v>
      </c>
      <c r="P10" t="n">
        <v>1.0624</v>
      </c>
      <c r="Q10" s="172" t="n">
        <v>3</v>
      </c>
      <c r="R10" s="172" t="n">
        <v>0</v>
      </c>
      <c r="S10" s="172" t="inlineStr">
        <is>
          <t>Census PEP Vintage 2019</t>
        </is>
      </c>
      <c r="T10" s="172" t="inlineStr">
        <is>
          <t>https://www2.census.gov/programs-surveys/popest/datasets/2010-2019/national/totals/nst-est2019-alldata.csv</t>
        </is>
      </c>
    </row>
    <row r="11">
      <c r="A11" s="172" t="n">
        <v>2015</v>
      </c>
      <c r="B11" t="inlineStr">
        <is>
          <t>FL</t>
        </is>
      </c>
      <c r="C11" t="inlineStr">
        <is>
          <t>12</t>
        </is>
      </c>
      <c r="D11" t="inlineStr">
        <is>
          <t>Florida</t>
        </is>
      </c>
      <c r="E11" s="172" t="n">
        <v>61</v>
      </c>
      <c r="F11" s="172" t="n">
        <v>20209042</v>
      </c>
      <c r="G11" s="172" t="n">
        <v>0.3018</v>
      </c>
      <c r="H11" s="172" t="n">
        <v>3.0185</v>
      </c>
      <c r="I11" s="172" t="n">
        <v>8</v>
      </c>
      <c r="J11" t="n">
        <v>0.3959</v>
      </c>
      <c r="K11" s="172" t="n">
        <v>38</v>
      </c>
      <c r="L11" t="n">
        <v>1.8803</v>
      </c>
      <c r="M11" s="172" t="n">
        <v>11</v>
      </c>
      <c r="N11" t="n">
        <v>0.5443</v>
      </c>
      <c r="O11" s="172" t="n">
        <v>2</v>
      </c>
      <c r="P11" t="n">
        <v>0.099</v>
      </c>
      <c r="Q11" s="172" t="n">
        <v>61</v>
      </c>
      <c r="R11" s="172" t="n">
        <v>0</v>
      </c>
      <c r="S11" s="172" t="inlineStr">
        <is>
          <t>Census PEP Vintage 2019</t>
        </is>
      </c>
      <c r="T11" s="172" t="inlineStr">
        <is>
          <t>https://www2.census.gov/programs-surveys/popest/datasets/2010-2019/national/totals/nst-est2019-alldata.csv</t>
        </is>
      </c>
    </row>
    <row r="12">
      <c r="A12" s="172" t="n">
        <v>2015</v>
      </c>
      <c r="B12" t="inlineStr">
        <is>
          <t>GA</t>
        </is>
      </c>
      <c r="C12" t="inlineStr">
        <is>
          <t>13</t>
        </is>
      </c>
      <c r="D12" t="inlineStr">
        <is>
          <t>Georgia</t>
        </is>
      </c>
      <c r="E12" s="172" t="n">
        <v>29</v>
      </c>
      <c r="F12" s="172" t="n">
        <v>10178447</v>
      </c>
      <c r="G12" s="172" t="n">
        <v>0.2849</v>
      </c>
      <c r="H12" s="172" t="n">
        <v>2.8492</v>
      </c>
      <c r="I12" s="172" t="n">
        <v>3</v>
      </c>
      <c r="J12" t="n">
        <v>0.2947</v>
      </c>
      <c r="K12" s="172" t="n">
        <v>19</v>
      </c>
      <c r="L12" t="n">
        <v>1.8667</v>
      </c>
      <c r="M12" s="172" t="n">
        <v>7</v>
      </c>
      <c r="N12" t="n">
        <v>0.6877</v>
      </c>
      <c r="O12" s="172" t="n">
        <v>3</v>
      </c>
      <c r="P12" t="n">
        <v>0.2947</v>
      </c>
      <c r="Q12" s="172" t="n">
        <v>27</v>
      </c>
      <c r="R12" s="172" t="n">
        <v>2</v>
      </c>
      <c r="S12" s="172" t="inlineStr">
        <is>
          <t>Census PEP Vintage 2019</t>
        </is>
      </c>
      <c r="T12" s="172" t="inlineStr">
        <is>
          <t>https://www2.census.gov/programs-surveys/popest/datasets/2010-2019/national/totals/nst-est2019-alldata.csv</t>
        </is>
      </c>
    </row>
    <row r="13">
      <c r="A13" s="172" t="n">
        <v>2015</v>
      </c>
      <c r="B13" t="inlineStr">
        <is>
          <t>HI</t>
        </is>
      </c>
      <c r="C13" t="inlineStr">
        <is>
          <t>15</t>
        </is>
      </c>
      <c r="D13" t="inlineStr">
        <is>
          <t>Hawaii</t>
        </is>
      </c>
      <c r="E13" s="172" t="n">
        <v>2</v>
      </c>
      <c r="F13" s="172" t="n">
        <v>1422052</v>
      </c>
      <c r="G13" s="172" t="n">
        <v>0.1406</v>
      </c>
      <c r="H13" s="172" t="n">
        <v>1.4064</v>
      </c>
      <c r="I13" s="172" t="n">
        <v>0</v>
      </c>
      <c r="J13" t="n">
        <v>0</v>
      </c>
      <c r="K13" s="172" t="n">
        <v>2</v>
      </c>
      <c r="L13" t="n">
        <v>1.4064</v>
      </c>
      <c r="M13" s="172" t="n">
        <v>0</v>
      </c>
      <c r="N13" t="n">
        <v>0</v>
      </c>
      <c r="O13" s="172" t="n">
        <v>0</v>
      </c>
      <c r="P13" t="n">
        <v>0</v>
      </c>
      <c r="Q13" s="172" t="n">
        <v>2</v>
      </c>
      <c r="R13" s="172" t="n">
        <v>0</v>
      </c>
      <c r="S13" s="172" t="inlineStr">
        <is>
          <t>Census PEP Vintage 2019</t>
        </is>
      </c>
      <c r="T13" s="172" t="inlineStr">
        <is>
          <t>https://www2.census.gov/programs-surveys/popest/datasets/2010-2019/national/totals/nst-est2019-alldata.csv</t>
        </is>
      </c>
    </row>
    <row r="14">
      <c r="A14" s="172" t="n">
        <v>2015</v>
      </c>
      <c r="B14" t="inlineStr">
        <is>
          <t>IA</t>
        </is>
      </c>
      <c r="C14" t="inlineStr">
        <is>
          <t>19</t>
        </is>
      </c>
      <c r="D14" t="inlineStr">
        <is>
          <t>Iowa</t>
        </is>
      </c>
      <c r="E14" s="172" t="n">
        <v>5</v>
      </c>
      <c r="F14" s="172" t="n">
        <v>3120960</v>
      </c>
      <c r="G14" s="172" t="n">
        <v>0.1602</v>
      </c>
      <c r="H14" s="172" t="n">
        <v>1.6021</v>
      </c>
      <c r="I14" s="172" t="n">
        <v>2</v>
      </c>
      <c r="J14" t="n">
        <v>0.6408</v>
      </c>
      <c r="K14" s="172" t="n">
        <v>3</v>
      </c>
      <c r="L14" t="n">
        <v>0.9612000000000001</v>
      </c>
      <c r="M14" s="172" t="n">
        <v>1</v>
      </c>
      <c r="N14" t="n">
        <v>0.3204</v>
      </c>
      <c r="O14" s="172" t="n">
        <v>1</v>
      </c>
      <c r="P14" t="n">
        <v>0.3204</v>
      </c>
      <c r="Q14" s="172" t="n">
        <v>5</v>
      </c>
      <c r="R14" s="172" t="n">
        <v>0</v>
      </c>
      <c r="S14" s="172" t="inlineStr">
        <is>
          <t>Census PEP Vintage 2019</t>
        </is>
      </c>
      <c r="T14" s="172" t="inlineStr">
        <is>
          <t>https://www2.census.gov/programs-surveys/popest/datasets/2010-2019/national/totals/nst-est2019-alldata.csv</t>
        </is>
      </c>
    </row>
    <row r="15">
      <c r="A15" s="172" t="n">
        <v>2015</v>
      </c>
      <c r="B15" t="inlineStr">
        <is>
          <t>ID</t>
        </is>
      </c>
      <c r="C15" t="inlineStr">
        <is>
          <t>16</t>
        </is>
      </c>
      <c r="D15" t="inlineStr">
        <is>
          <t>Idaho</t>
        </is>
      </c>
      <c r="E15" s="172" t="n">
        <v>7</v>
      </c>
      <c r="F15" s="172" t="n">
        <v>1651059</v>
      </c>
      <c r="G15" s="172" t="n">
        <v>0.424</v>
      </c>
      <c r="H15" s="172" t="n">
        <v>4.2397</v>
      </c>
      <c r="I15" s="172" t="n">
        <v>0</v>
      </c>
      <c r="J15" t="n">
        <v>0</v>
      </c>
      <c r="K15" s="172" t="n">
        <v>7</v>
      </c>
      <c r="L15" t="n">
        <v>4.2397</v>
      </c>
      <c r="M15" s="172" t="n">
        <v>0</v>
      </c>
      <c r="N15" t="n">
        <v>0</v>
      </c>
      <c r="O15" s="172" t="n">
        <v>3</v>
      </c>
      <c r="P15" t="n">
        <v>1.817</v>
      </c>
      <c r="Q15" s="172" t="n">
        <v>7</v>
      </c>
      <c r="R15" s="172" t="n">
        <v>0</v>
      </c>
      <c r="S15" s="172" t="inlineStr">
        <is>
          <t>Census PEP Vintage 2019</t>
        </is>
      </c>
      <c r="T15" s="172" t="inlineStr">
        <is>
          <t>https://www2.census.gov/programs-surveys/popest/datasets/2010-2019/national/totals/nst-est2019-alldata.csv</t>
        </is>
      </c>
    </row>
    <row r="16">
      <c r="A16" s="172" t="n">
        <v>2015</v>
      </c>
      <c r="B16" t="inlineStr">
        <is>
          <t>IL</t>
        </is>
      </c>
      <c r="C16" t="inlineStr">
        <is>
          <t>17</t>
        </is>
      </c>
      <c r="D16" t="inlineStr">
        <is>
          <t>Illinois</t>
        </is>
      </c>
      <c r="E16" s="172" t="n">
        <v>21</v>
      </c>
      <c r="F16" s="172" t="n">
        <v>12858913</v>
      </c>
      <c r="G16" s="172" t="n">
        <v>0.1633</v>
      </c>
      <c r="H16" s="172" t="n">
        <v>1.6331</v>
      </c>
      <c r="I16" s="172" t="n">
        <v>2</v>
      </c>
      <c r="J16" t="n">
        <v>0.1555</v>
      </c>
      <c r="K16" s="172" t="n">
        <v>15</v>
      </c>
      <c r="L16" t="n">
        <v>1.1665</v>
      </c>
      <c r="M16" s="172" t="n">
        <v>6</v>
      </c>
      <c r="N16" t="n">
        <v>0.4666</v>
      </c>
      <c r="O16" s="172" t="n">
        <v>1</v>
      </c>
      <c r="P16" t="n">
        <v>0.07779999999999999</v>
      </c>
      <c r="Q16" s="172" t="n">
        <v>21</v>
      </c>
      <c r="R16" s="172" t="n">
        <v>0</v>
      </c>
      <c r="S16" s="172" t="inlineStr">
        <is>
          <t>Census PEP Vintage 2019</t>
        </is>
      </c>
      <c r="T16" s="172" t="inlineStr">
        <is>
          <t>https://www2.census.gov/programs-surveys/popest/datasets/2010-2019/national/totals/nst-est2019-alldata.csv</t>
        </is>
      </c>
    </row>
    <row r="17">
      <c r="A17" s="172" t="n">
        <v>2015</v>
      </c>
      <c r="B17" t="inlineStr">
        <is>
          <t>IN</t>
        </is>
      </c>
      <c r="C17" t="inlineStr">
        <is>
          <t>18</t>
        </is>
      </c>
      <c r="D17" t="inlineStr">
        <is>
          <t>Indiana</t>
        </is>
      </c>
      <c r="E17" s="172" t="n">
        <v>19</v>
      </c>
      <c r="F17" s="172" t="n">
        <v>6608422</v>
      </c>
      <c r="G17" s="172" t="n">
        <v>0.2875</v>
      </c>
      <c r="H17" s="172" t="n">
        <v>2.8751</v>
      </c>
      <c r="I17" s="172" t="n">
        <v>3</v>
      </c>
      <c r="J17" t="n">
        <v>0.454</v>
      </c>
      <c r="K17" s="172" t="n">
        <v>10</v>
      </c>
      <c r="L17" t="n">
        <v>1.5132</v>
      </c>
      <c r="M17" s="172" t="n">
        <v>6</v>
      </c>
      <c r="N17" t="n">
        <v>0.9079</v>
      </c>
      <c r="O17" s="172" t="n">
        <v>1</v>
      </c>
      <c r="P17" t="n">
        <v>0.1513</v>
      </c>
      <c r="Q17" s="172" t="n">
        <v>18</v>
      </c>
      <c r="R17" s="172" t="n">
        <v>1</v>
      </c>
      <c r="S17" s="172" t="inlineStr">
        <is>
          <t>Census PEP Vintage 2019</t>
        </is>
      </c>
      <c r="T17" s="172" t="inlineStr">
        <is>
          <t>https://www2.census.gov/programs-surveys/popest/datasets/2010-2019/national/totals/nst-est2019-alldata.csv</t>
        </is>
      </c>
    </row>
    <row r="18">
      <c r="A18" s="172" t="n">
        <v>2015</v>
      </c>
      <c r="B18" t="inlineStr">
        <is>
          <t>KS</t>
        </is>
      </c>
      <c r="C18" t="inlineStr">
        <is>
          <t>20</t>
        </is>
      </c>
      <c r="D18" t="inlineStr">
        <is>
          <t>Kansas</t>
        </is>
      </c>
      <c r="E18" s="172" t="n">
        <v>9</v>
      </c>
      <c r="F18" s="172" t="n">
        <v>2909011</v>
      </c>
      <c r="G18" s="172" t="n">
        <v>0.3094</v>
      </c>
      <c r="H18" s="172" t="n">
        <v>3.0938</v>
      </c>
      <c r="I18" s="172" t="n">
        <v>1</v>
      </c>
      <c r="J18" t="n">
        <v>0.3438</v>
      </c>
      <c r="K18" s="172" t="n">
        <v>6</v>
      </c>
      <c r="L18" t="n">
        <v>2.0626</v>
      </c>
      <c r="M18" s="172" t="n">
        <v>0</v>
      </c>
      <c r="N18" t="n">
        <v>0</v>
      </c>
      <c r="O18" s="172" t="n">
        <v>0</v>
      </c>
      <c r="P18" t="n">
        <v>0</v>
      </c>
      <c r="Q18" s="172" t="n">
        <v>9</v>
      </c>
      <c r="R18" s="172" t="n">
        <v>0</v>
      </c>
      <c r="S18" s="172" t="inlineStr">
        <is>
          <t>Census PEP Vintage 2019</t>
        </is>
      </c>
      <c r="T18" s="172" t="inlineStr">
        <is>
          <t>https://www2.census.gov/programs-surveys/popest/datasets/2010-2019/national/totals/nst-est2019-alldata.csv</t>
        </is>
      </c>
    </row>
    <row r="19">
      <c r="A19" s="172" t="n">
        <v>2015</v>
      </c>
      <c r="B19" t="inlineStr">
        <is>
          <t>KY</t>
        </is>
      </c>
      <c r="C19" t="inlineStr">
        <is>
          <t>21</t>
        </is>
      </c>
      <c r="D19" t="inlineStr">
        <is>
          <t>Kentucky</t>
        </is>
      </c>
      <c r="E19" s="172" t="n">
        <v>16</v>
      </c>
      <c r="F19" s="172" t="n">
        <v>4425976</v>
      </c>
      <c r="G19" s="172" t="n">
        <v>0.3615</v>
      </c>
      <c r="H19" s="172" t="n">
        <v>3.615</v>
      </c>
      <c r="I19" s="172" t="n">
        <v>0</v>
      </c>
      <c r="J19" t="n">
        <v>0</v>
      </c>
      <c r="K19" s="172" t="n">
        <v>10</v>
      </c>
      <c r="L19" t="n">
        <v>2.2594</v>
      </c>
      <c r="M19" s="172" t="n">
        <v>2</v>
      </c>
      <c r="N19" t="n">
        <v>0.4519</v>
      </c>
      <c r="O19" s="172" t="n">
        <v>1</v>
      </c>
      <c r="P19" t="n">
        <v>0.2259</v>
      </c>
      <c r="Q19" s="172" t="n">
        <v>15</v>
      </c>
      <c r="R19" s="172" t="n">
        <v>1</v>
      </c>
      <c r="S19" s="172" t="inlineStr">
        <is>
          <t>Census PEP Vintage 2019</t>
        </is>
      </c>
      <c r="T19" s="172" t="inlineStr">
        <is>
          <t>https://www2.census.gov/programs-surveys/popest/datasets/2010-2019/national/totals/nst-est2019-alldata.csv</t>
        </is>
      </c>
    </row>
    <row r="20">
      <c r="A20" s="172" t="n">
        <v>2015</v>
      </c>
      <c r="B20" t="inlineStr">
        <is>
          <t>LA</t>
        </is>
      </c>
      <c r="C20" t="inlineStr">
        <is>
          <t>22</t>
        </is>
      </c>
      <c r="D20" t="inlineStr">
        <is>
          <t>Louisiana</t>
        </is>
      </c>
      <c r="E20" s="172" t="n">
        <v>27</v>
      </c>
      <c r="F20" s="172" t="n">
        <v>4664628</v>
      </c>
      <c r="G20" s="172" t="n">
        <v>0.5788</v>
      </c>
      <c r="H20" s="172" t="n">
        <v>5.7882</v>
      </c>
      <c r="I20" s="172" t="n">
        <v>2</v>
      </c>
      <c r="J20" t="n">
        <v>0.4288</v>
      </c>
      <c r="K20" s="172" t="n">
        <v>15</v>
      </c>
      <c r="L20" t="n">
        <v>3.2157</v>
      </c>
      <c r="M20" s="172" t="n">
        <v>8</v>
      </c>
      <c r="N20" t="n">
        <v>1.715</v>
      </c>
      <c r="O20" s="172" t="n">
        <v>4</v>
      </c>
      <c r="P20" t="n">
        <v>0.8575</v>
      </c>
      <c r="Q20" s="172" t="n">
        <v>26</v>
      </c>
      <c r="R20" s="172" t="n">
        <v>1</v>
      </c>
      <c r="S20" s="172" t="inlineStr">
        <is>
          <t>Census PEP Vintage 2019</t>
        </is>
      </c>
      <c r="T20" s="172" t="inlineStr">
        <is>
          <t>https://www2.census.gov/programs-surveys/popest/datasets/2010-2019/national/totals/nst-est2019-alldata.csv</t>
        </is>
      </c>
    </row>
    <row r="21">
      <c r="A21" s="172" t="n">
        <v>2015</v>
      </c>
      <c r="B21" t="inlineStr">
        <is>
          <t>MA</t>
        </is>
      </c>
      <c r="C21" t="inlineStr">
        <is>
          <t>25</t>
        </is>
      </c>
      <c r="D21" t="inlineStr">
        <is>
          <t>Massachusetts</t>
        </is>
      </c>
      <c r="E21" s="172" t="n">
        <v>9</v>
      </c>
      <c r="F21" s="172" t="n">
        <v>6794228</v>
      </c>
      <c r="G21" s="172" t="n">
        <v>0.1325</v>
      </c>
      <c r="H21" s="172" t="n">
        <v>1.3247</v>
      </c>
      <c r="I21" s="172" t="n">
        <v>0</v>
      </c>
      <c r="J21" t="n">
        <v>0</v>
      </c>
      <c r="K21" s="172" t="n">
        <v>2</v>
      </c>
      <c r="L21" t="n">
        <v>0.2944</v>
      </c>
      <c r="M21" s="172" t="n">
        <v>3</v>
      </c>
      <c r="N21" t="n">
        <v>0.4416</v>
      </c>
      <c r="O21" s="172" t="n">
        <v>0</v>
      </c>
      <c r="P21" t="n">
        <v>0</v>
      </c>
      <c r="Q21" s="172" t="n">
        <v>9</v>
      </c>
      <c r="R21" s="172" t="n">
        <v>0</v>
      </c>
      <c r="S21" s="172" t="inlineStr">
        <is>
          <t>Census PEP Vintage 2019</t>
        </is>
      </c>
      <c r="T21" s="172" t="inlineStr">
        <is>
          <t>https://www2.census.gov/programs-surveys/popest/datasets/2010-2019/national/totals/nst-est2019-alldata.csv</t>
        </is>
      </c>
    </row>
    <row r="22">
      <c r="A22" s="172" t="n">
        <v>2015</v>
      </c>
      <c r="B22" t="inlineStr">
        <is>
          <t>MD</t>
        </is>
      </c>
      <c r="C22" t="inlineStr">
        <is>
          <t>24</t>
        </is>
      </c>
      <c r="D22" t="inlineStr">
        <is>
          <t>Maryland</t>
        </is>
      </c>
      <c r="E22" s="172" t="n">
        <v>15</v>
      </c>
      <c r="F22" s="172" t="n">
        <v>5985562</v>
      </c>
      <c r="G22" s="172" t="n">
        <v>0.2506</v>
      </c>
      <c r="H22" s="172" t="n">
        <v>2.506</v>
      </c>
      <c r="I22" s="172" t="n">
        <v>3</v>
      </c>
      <c r="J22" t="n">
        <v>0.5012</v>
      </c>
      <c r="K22" s="172" t="n">
        <v>3</v>
      </c>
      <c r="L22" t="n">
        <v>0.5012</v>
      </c>
      <c r="M22" s="172" t="n">
        <v>6</v>
      </c>
      <c r="N22" t="n">
        <v>1.0024</v>
      </c>
      <c r="O22" s="172" t="n">
        <v>0</v>
      </c>
      <c r="P22" t="n">
        <v>0</v>
      </c>
      <c r="Q22" s="172" t="n">
        <v>15</v>
      </c>
      <c r="R22" s="172" t="n">
        <v>0</v>
      </c>
      <c r="S22" s="172" t="inlineStr">
        <is>
          <t>Census PEP Vintage 2019</t>
        </is>
      </c>
      <c r="T22" s="172" t="inlineStr">
        <is>
          <t>https://www2.census.gov/programs-surveys/popest/datasets/2010-2019/national/totals/nst-est2019-alldata.csv</t>
        </is>
      </c>
    </row>
    <row r="23">
      <c r="A23" s="172" t="n">
        <v>2015</v>
      </c>
      <c r="B23" t="inlineStr">
        <is>
          <t>ME</t>
        </is>
      </c>
      <c r="C23" t="inlineStr">
        <is>
          <t>23</t>
        </is>
      </c>
      <c r="D23" t="inlineStr">
        <is>
          <t>Maine</t>
        </is>
      </c>
      <c r="E23" s="172" t="n">
        <v>2</v>
      </c>
      <c r="F23" s="172" t="n">
        <v>1328262</v>
      </c>
      <c r="G23" s="172" t="n">
        <v>0.1506</v>
      </c>
      <c r="H23" s="172" t="n">
        <v>1.5057</v>
      </c>
      <c r="I23" s="172" t="n">
        <v>0</v>
      </c>
      <c r="J23" t="n">
        <v>0</v>
      </c>
      <c r="K23" s="172" t="n">
        <v>2</v>
      </c>
      <c r="L23" t="n">
        <v>1.5057</v>
      </c>
      <c r="M23" s="172" t="n">
        <v>1</v>
      </c>
      <c r="N23" t="n">
        <v>0.7529</v>
      </c>
      <c r="O23" s="172" t="n">
        <v>0</v>
      </c>
      <c r="P23" t="n">
        <v>0</v>
      </c>
      <c r="Q23" s="172" t="n">
        <v>2</v>
      </c>
      <c r="R23" s="172" t="n">
        <v>0</v>
      </c>
      <c r="S23" s="172" t="inlineStr">
        <is>
          <t>Census PEP Vintage 2019</t>
        </is>
      </c>
      <c r="T23" s="172" t="inlineStr">
        <is>
          <t>https://www2.census.gov/programs-surveys/popest/datasets/2010-2019/national/totals/nst-est2019-alldata.csv</t>
        </is>
      </c>
    </row>
    <row r="24">
      <c r="A24" s="172" t="n">
        <v>2015</v>
      </c>
      <c r="B24" t="inlineStr">
        <is>
          <t>MI</t>
        </is>
      </c>
      <c r="C24" t="inlineStr">
        <is>
          <t>26</t>
        </is>
      </c>
      <c r="D24" t="inlineStr">
        <is>
          <t>Michigan</t>
        </is>
      </c>
      <c r="E24" s="172" t="n">
        <v>16</v>
      </c>
      <c r="F24" s="172" t="n">
        <v>9931715</v>
      </c>
      <c r="G24" s="172" t="n">
        <v>0.1611</v>
      </c>
      <c r="H24" s="172" t="n">
        <v>1.611</v>
      </c>
      <c r="I24" s="172" t="n">
        <v>2</v>
      </c>
      <c r="J24" t="n">
        <v>0.2014</v>
      </c>
      <c r="K24" s="172" t="n">
        <v>10</v>
      </c>
      <c r="L24" t="n">
        <v>1.0069</v>
      </c>
      <c r="M24" s="172" t="n">
        <v>6</v>
      </c>
      <c r="N24" t="n">
        <v>0.6041</v>
      </c>
      <c r="O24" s="172" t="n">
        <v>1</v>
      </c>
      <c r="P24" t="n">
        <v>0.1007</v>
      </c>
      <c r="Q24" s="172" t="n">
        <v>16</v>
      </c>
      <c r="R24" s="172" t="n">
        <v>0</v>
      </c>
      <c r="S24" s="172" t="inlineStr">
        <is>
          <t>Census PEP Vintage 2019</t>
        </is>
      </c>
      <c r="T24" s="172" t="inlineStr">
        <is>
          <t>https://www2.census.gov/programs-surveys/popest/datasets/2010-2019/national/totals/nst-est2019-alldata.csv</t>
        </is>
      </c>
    </row>
    <row r="25">
      <c r="A25" s="172" t="n">
        <v>2015</v>
      </c>
      <c r="B25" t="inlineStr">
        <is>
          <t>MN</t>
        </is>
      </c>
      <c r="C25" t="inlineStr">
        <is>
          <t>27</t>
        </is>
      </c>
      <c r="D25" t="inlineStr">
        <is>
          <t>Minnesota</t>
        </is>
      </c>
      <c r="E25" s="172" t="n">
        <v>12</v>
      </c>
      <c r="F25" s="172" t="n">
        <v>5482032</v>
      </c>
      <c r="G25" s="172" t="n">
        <v>0.2189</v>
      </c>
      <c r="H25" s="172" t="n">
        <v>2.189</v>
      </c>
      <c r="I25" s="172" t="n">
        <v>3</v>
      </c>
      <c r="J25" t="n">
        <v>0.5472</v>
      </c>
      <c r="K25" s="172" t="n">
        <v>5</v>
      </c>
      <c r="L25" t="n">
        <v>0.9121</v>
      </c>
      <c r="M25" s="172" t="n">
        <v>5</v>
      </c>
      <c r="N25" t="n">
        <v>0.9121</v>
      </c>
      <c r="O25" s="172" t="n">
        <v>0</v>
      </c>
      <c r="P25" t="n">
        <v>0</v>
      </c>
      <c r="Q25" s="172" t="n">
        <v>12</v>
      </c>
      <c r="R25" s="172" t="n">
        <v>0</v>
      </c>
      <c r="S25" s="172" t="inlineStr">
        <is>
          <t>Census PEP Vintage 2019</t>
        </is>
      </c>
      <c r="T25" s="172" t="inlineStr">
        <is>
          <t>https://www2.census.gov/programs-surveys/popest/datasets/2010-2019/national/totals/nst-est2019-alldata.csv</t>
        </is>
      </c>
    </row>
    <row r="26">
      <c r="A26" s="172" t="n">
        <v>2015</v>
      </c>
      <c r="B26" t="inlineStr">
        <is>
          <t>MO</t>
        </is>
      </c>
      <c r="C26" t="inlineStr">
        <is>
          <t>29</t>
        </is>
      </c>
      <c r="D26" t="inlineStr">
        <is>
          <t>Missouri</t>
        </is>
      </c>
      <c r="E26" s="172" t="n">
        <v>21</v>
      </c>
      <c r="F26" s="172" t="n">
        <v>6071732</v>
      </c>
      <c r="G26" s="172" t="n">
        <v>0.3459</v>
      </c>
      <c r="H26" s="172" t="n">
        <v>3.4587</v>
      </c>
      <c r="I26" s="172" t="n">
        <v>2</v>
      </c>
      <c r="J26" t="n">
        <v>0.3294</v>
      </c>
      <c r="K26" s="172" t="n">
        <v>13</v>
      </c>
      <c r="L26" t="n">
        <v>2.1411</v>
      </c>
      <c r="M26" s="172" t="n">
        <v>3</v>
      </c>
      <c r="N26" t="n">
        <v>0.4941</v>
      </c>
      <c r="O26" s="172" t="n">
        <v>2</v>
      </c>
      <c r="P26" t="n">
        <v>0.3294</v>
      </c>
      <c r="Q26" s="172" t="n">
        <v>21</v>
      </c>
      <c r="R26" s="172" t="n">
        <v>0</v>
      </c>
      <c r="S26" s="172" t="inlineStr">
        <is>
          <t>Census PEP Vintage 2019</t>
        </is>
      </c>
      <c r="T26" s="172" t="inlineStr">
        <is>
          <t>https://www2.census.gov/programs-surveys/popest/datasets/2010-2019/national/totals/nst-est2019-alldata.csv</t>
        </is>
      </c>
    </row>
    <row r="27">
      <c r="A27" s="172" t="n">
        <v>2015</v>
      </c>
      <c r="B27" t="inlineStr">
        <is>
          <t>MS</t>
        </is>
      </c>
      <c r="C27" t="inlineStr">
        <is>
          <t>28</t>
        </is>
      </c>
      <c r="D27" t="inlineStr">
        <is>
          <t>Mississippi</t>
        </is>
      </c>
      <c r="E27" s="172" t="n">
        <v>8</v>
      </c>
      <c r="F27" s="172" t="n">
        <v>2988471</v>
      </c>
      <c r="G27" s="172" t="n">
        <v>0.2677</v>
      </c>
      <c r="H27" s="172" t="n">
        <v>2.677</v>
      </c>
      <c r="I27" s="172" t="n">
        <v>1</v>
      </c>
      <c r="J27" t="n">
        <v>0.3346</v>
      </c>
      <c r="K27" s="172" t="n">
        <v>3</v>
      </c>
      <c r="L27" t="n">
        <v>1.0039</v>
      </c>
      <c r="M27" s="172" t="n">
        <v>0</v>
      </c>
      <c r="N27" t="n">
        <v>0</v>
      </c>
      <c r="O27" s="172" t="n">
        <v>1</v>
      </c>
      <c r="P27" t="n">
        <v>0.3346</v>
      </c>
      <c r="Q27" s="172" t="n">
        <v>8</v>
      </c>
      <c r="R27" s="172" t="n">
        <v>0</v>
      </c>
      <c r="S27" s="172" t="inlineStr">
        <is>
          <t>Census PEP Vintage 2019</t>
        </is>
      </c>
      <c r="T27" s="172" t="inlineStr">
        <is>
          <t>https://www2.census.gov/programs-surveys/popest/datasets/2010-2019/national/totals/nst-est2019-alldata.csv</t>
        </is>
      </c>
    </row>
    <row r="28">
      <c r="A28" s="172" t="n">
        <v>2015</v>
      </c>
      <c r="B28" t="inlineStr">
        <is>
          <t>MT</t>
        </is>
      </c>
      <c r="C28" t="inlineStr">
        <is>
          <t>30</t>
        </is>
      </c>
      <c r="D28" t="inlineStr">
        <is>
          <t>Montana</t>
        </is>
      </c>
      <c r="E28" s="172" t="n">
        <v>4</v>
      </c>
      <c r="F28" s="172" t="n">
        <v>1030475</v>
      </c>
      <c r="G28" s="172" t="n">
        <v>0.3882</v>
      </c>
      <c r="H28" s="172" t="n">
        <v>3.8817</v>
      </c>
      <c r="I28" s="172" t="n">
        <v>0</v>
      </c>
      <c r="J28" t="n">
        <v>0</v>
      </c>
      <c r="K28" s="172" t="n">
        <v>2</v>
      </c>
      <c r="L28" t="n">
        <v>1.9409</v>
      </c>
      <c r="M28" s="172" t="n">
        <v>0</v>
      </c>
      <c r="N28" t="n">
        <v>0</v>
      </c>
      <c r="O28" s="172" t="n">
        <v>0</v>
      </c>
      <c r="P28" t="n">
        <v>0</v>
      </c>
      <c r="Q28" s="172" t="n">
        <v>4</v>
      </c>
      <c r="R28" s="172" t="n">
        <v>0</v>
      </c>
      <c r="S28" s="172" t="inlineStr">
        <is>
          <t>Census PEP Vintage 2019</t>
        </is>
      </c>
      <c r="T28" s="172" t="inlineStr">
        <is>
          <t>https://www2.census.gov/programs-surveys/popest/datasets/2010-2019/national/totals/nst-est2019-alldata.csv</t>
        </is>
      </c>
    </row>
    <row r="29">
      <c r="A29" s="172" t="n">
        <v>2015</v>
      </c>
      <c r="B29" t="inlineStr">
        <is>
          <t>NC</t>
        </is>
      </c>
      <c r="C29" t="inlineStr">
        <is>
          <t>37</t>
        </is>
      </c>
      <c r="D29" t="inlineStr">
        <is>
          <t>North Carolina</t>
        </is>
      </c>
      <c r="E29" s="172" t="n">
        <v>23</v>
      </c>
      <c r="F29" s="172" t="n">
        <v>10031646</v>
      </c>
      <c r="G29" s="172" t="n">
        <v>0.2293</v>
      </c>
      <c r="H29" s="172" t="n">
        <v>2.2927</v>
      </c>
      <c r="I29" s="172" t="n">
        <v>0</v>
      </c>
      <c r="J29" t="n">
        <v>0</v>
      </c>
      <c r="K29" s="172" t="n">
        <v>15</v>
      </c>
      <c r="L29" t="n">
        <v>1.4953</v>
      </c>
      <c r="M29" s="172" t="n">
        <v>6</v>
      </c>
      <c r="N29" t="n">
        <v>0.5981</v>
      </c>
      <c r="O29" s="172" t="n">
        <v>1</v>
      </c>
      <c r="P29" t="n">
        <v>0.0997</v>
      </c>
      <c r="Q29" s="172" t="n">
        <v>23</v>
      </c>
      <c r="R29" s="172" t="n">
        <v>0</v>
      </c>
      <c r="S29" s="172" t="inlineStr">
        <is>
          <t>Census PEP Vintage 2019</t>
        </is>
      </c>
      <c r="T29" s="172" t="inlineStr">
        <is>
          <t>https://www2.census.gov/programs-surveys/popest/datasets/2010-2019/national/totals/nst-est2019-alldata.csv</t>
        </is>
      </c>
    </row>
    <row r="30">
      <c r="A30" s="172" t="n">
        <v>2015</v>
      </c>
      <c r="B30" t="inlineStr">
        <is>
          <t>ND</t>
        </is>
      </c>
      <c r="C30" t="inlineStr">
        <is>
          <t>38</t>
        </is>
      </c>
      <c r="D30" t="inlineStr">
        <is>
          <t>North Dakota</t>
        </is>
      </c>
      <c r="E30" s="172" t="n">
        <v>1</v>
      </c>
      <c r="F30" s="172" t="n">
        <v>754066</v>
      </c>
      <c r="G30" s="172" t="n">
        <v>0.1326</v>
      </c>
      <c r="H30" s="172" t="n">
        <v>1.3261</v>
      </c>
      <c r="I30" s="172" t="n">
        <v>0</v>
      </c>
      <c r="J30" t="n">
        <v>0</v>
      </c>
      <c r="K30" s="172" t="n">
        <v>1</v>
      </c>
      <c r="L30" t="n">
        <v>1.3261</v>
      </c>
      <c r="M30" s="172" t="n">
        <v>0</v>
      </c>
      <c r="N30" t="n">
        <v>0</v>
      </c>
      <c r="O30" s="172" t="n">
        <v>0</v>
      </c>
      <c r="P30" t="n">
        <v>0</v>
      </c>
      <c r="Q30" s="172" t="n">
        <v>1</v>
      </c>
      <c r="R30" s="172" t="n">
        <v>0</v>
      </c>
      <c r="S30" s="172" t="inlineStr">
        <is>
          <t>Census PEP Vintage 2019</t>
        </is>
      </c>
      <c r="T30" s="172" t="inlineStr">
        <is>
          <t>https://www2.census.gov/programs-surveys/popest/datasets/2010-2019/national/totals/nst-est2019-alldata.csv</t>
        </is>
      </c>
    </row>
    <row r="31">
      <c r="A31" s="172" t="n">
        <v>2015</v>
      </c>
      <c r="B31" t="inlineStr">
        <is>
          <t>NE</t>
        </is>
      </c>
      <c r="C31" t="inlineStr">
        <is>
          <t>31</t>
        </is>
      </c>
      <c r="D31" t="inlineStr">
        <is>
          <t>Nebraska</t>
        </is>
      </c>
      <c r="E31" s="172" t="n">
        <v>8</v>
      </c>
      <c r="F31" s="172" t="n">
        <v>1891277</v>
      </c>
      <c r="G31" s="172" t="n">
        <v>0.423</v>
      </c>
      <c r="H31" s="172" t="n">
        <v>4.2299</v>
      </c>
      <c r="I31" s="172" t="n">
        <v>1</v>
      </c>
      <c r="J31" t="n">
        <v>0.5286999999999999</v>
      </c>
      <c r="K31" s="172" t="n">
        <v>5</v>
      </c>
      <c r="L31" t="n">
        <v>2.6437</v>
      </c>
      <c r="M31" s="172" t="n">
        <v>1</v>
      </c>
      <c r="N31" t="n">
        <v>0.5286999999999999</v>
      </c>
      <c r="O31" s="172" t="n">
        <v>0</v>
      </c>
      <c r="P31" t="n">
        <v>0</v>
      </c>
      <c r="Q31" s="172" t="n">
        <v>8</v>
      </c>
      <c r="R31" s="172" t="n">
        <v>0</v>
      </c>
      <c r="S31" s="172" t="inlineStr">
        <is>
          <t>Census PEP Vintage 2019</t>
        </is>
      </c>
      <c r="T31" s="172" t="inlineStr">
        <is>
          <t>https://www2.census.gov/programs-surveys/popest/datasets/2010-2019/national/totals/nst-est2019-alldata.csv</t>
        </is>
      </c>
    </row>
    <row r="32">
      <c r="A32" s="172" t="n">
        <v>2015</v>
      </c>
      <c r="B32" t="inlineStr">
        <is>
          <t>NH</t>
        </is>
      </c>
      <c r="C32" t="inlineStr">
        <is>
          <t>33</t>
        </is>
      </c>
      <c r="D32" t="inlineStr">
        <is>
          <t>New Hampshire</t>
        </is>
      </c>
      <c r="E32" s="172" t="n">
        <v>3</v>
      </c>
      <c r="F32" s="172" t="n">
        <v>1336350</v>
      </c>
      <c r="G32" s="172" t="n">
        <v>0.2245</v>
      </c>
      <c r="H32" s="172" t="n">
        <v>2.2449</v>
      </c>
      <c r="I32" s="172" t="n">
        <v>0</v>
      </c>
      <c r="J32" t="n">
        <v>0</v>
      </c>
      <c r="K32" s="172" t="n">
        <v>1</v>
      </c>
      <c r="L32" t="n">
        <v>0.7483</v>
      </c>
      <c r="M32" s="172" t="n">
        <v>3</v>
      </c>
      <c r="N32" t="n">
        <v>2.2449</v>
      </c>
      <c r="O32" s="172" t="n">
        <v>1</v>
      </c>
      <c r="P32" t="n">
        <v>0.7483</v>
      </c>
      <c r="Q32" s="172" t="n">
        <v>3</v>
      </c>
      <c r="R32" s="172" t="n">
        <v>0</v>
      </c>
      <c r="S32" s="172" t="inlineStr">
        <is>
          <t>Census PEP Vintage 2019</t>
        </is>
      </c>
      <c r="T32" s="172" t="inlineStr">
        <is>
          <t>https://www2.census.gov/programs-surveys/popest/datasets/2010-2019/national/totals/nst-est2019-alldata.csv</t>
        </is>
      </c>
    </row>
    <row r="33">
      <c r="A33" s="172" t="n">
        <v>2015</v>
      </c>
      <c r="B33" t="inlineStr">
        <is>
          <t>NJ</t>
        </is>
      </c>
      <c r="C33" t="inlineStr">
        <is>
          <t>34</t>
        </is>
      </c>
      <c r="D33" t="inlineStr">
        <is>
          <t>New Jersey</t>
        </is>
      </c>
      <c r="E33" s="172" t="n">
        <v>15</v>
      </c>
      <c r="F33" s="172" t="n">
        <v>8867949</v>
      </c>
      <c r="G33" s="172" t="n">
        <v>0.1691</v>
      </c>
      <c r="H33" s="172" t="n">
        <v>1.6915</v>
      </c>
      <c r="I33" s="172" t="n">
        <v>0</v>
      </c>
      <c r="J33" t="n">
        <v>0</v>
      </c>
      <c r="K33" s="172" t="n">
        <v>5</v>
      </c>
      <c r="L33" t="n">
        <v>0.5638</v>
      </c>
      <c r="M33" s="172" t="n">
        <v>5</v>
      </c>
      <c r="N33" t="n">
        <v>0.5638</v>
      </c>
      <c r="O33" s="172" t="n">
        <v>0</v>
      </c>
      <c r="P33" t="n">
        <v>0</v>
      </c>
      <c r="Q33" s="172" t="n">
        <v>14</v>
      </c>
      <c r="R33" s="172" t="n">
        <v>1</v>
      </c>
      <c r="S33" s="172" t="inlineStr">
        <is>
          <t>Census PEP Vintage 2019</t>
        </is>
      </c>
      <c r="T33" s="172" t="inlineStr">
        <is>
          <t>https://www2.census.gov/programs-surveys/popest/datasets/2010-2019/national/totals/nst-est2019-alldata.csv</t>
        </is>
      </c>
    </row>
    <row r="34">
      <c r="A34" s="172" t="n">
        <v>2015</v>
      </c>
      <c r="B34" t="inlineStr">
        <is>
          <t>NM</t>
        </is>
      </c>
      <c r="C34" t="inlineStr">
        <is>
          <t>35</t>
        </is>
      </c>
      <c r="D34" t="inlineStr">
        <is>
          <t>New Mexico</t>
        </is>
      </c>
      <c r="E34" s="172" t="n">
        <v>20</v>
      </c>
      <c r="F34" s="172" t="n">
        <v>2089291</v>
      </c>
      <c r="G34" s="172" t="n">
        <v>0.9573</v>
      </c>
      <c r="H34" s="172" t="n">
        <v>9.5726</v>
      </c>
      <c r="I34" s="172" t="n">
        <v>1</v>
      </c>
      <c r="J34" t="n">
        <v>0.4786</v>
      </c>
      <c r="K34" s="172" t="n">
        <v>16</v>
      </c>
      <c r="L34" t="n">
        <v>7.6581</v>
      </c>
      <c r="M34" s="172" t="n">
        <v>3</v>
      </c>
      <c r="N34" t="n">
        <v>1.4359</v>
      </c>
      <c r="O34" s="172" t="n">
        <v>3</v>
      </c>
      <c r="P34" t="n">
        <v>1.4359</v>
      </c>
      <c r="Q34" s="172" t="n">
        <v>20</v>
      </c>
      <c r="R34" s="172" t="n">
        <v>0</v>
      </c>
      <c r="S34" s="172" t="inlineStr">
        <is>
          <t>Census PEP Vintage 2019</t>
        </is>
      </c>
      <c r="T34" s="172" t="inlineStr">
        <is>
          <t>https://www2.census.gov/programs-surveys/popest/datasets/2010-2019/national/totals/nst-est2019-alldata.csv</t>
        </is>
      </c>
    </row>
    <row r="35">
      <c r="A35" s="172" t="n">
        <v>2015</v>
      </c>
      <c r="B35" t="inlineStr">
        <is>
          <t>NV</t>
        </is>
      </c>
      <c r="C35" t="inlineStr">
        <is>
          <t>32</t>
        </is>
      </c>
      <c r="D35" t="inlineStr">
        <is>
          <t>Nevada</t>
        </is>
      </c>
      <c r="E35" s="172" t="n">
        <v>19</v>
      </c>
      <c r="F35" s="172" t="n">
        <v>2866939</v>
      </c>
      <c r="G35" s="172" t="n">
        <v>0.6627</v>
      </c>
      <c r="H35" s="172" t="n">
        <v>6.6273</v>
      </c>
      <c r="I35" s="172" t="n">
        <v>1</v>
      </c>
      <c r="J35" t="n">
        <v>0.3488</v>
      </c>
      <c r="K35" s="172" t="n">
        <v>14</v>
      </c>
      <c r="L35" t="n">
        <v>4.8833</v>
      </c>
      <c r="M35" s="172" t="n">
        <v>6</v>
      </c>
      <c r="N35" t="n">
        <v>2.0928</v>
      </c>
      <c r="O35" s="172" t="n">
        <v>4</v>
      </c>
      <c r="P35" t="n">
        <v>1.3952</v>
      </c>
      <c r="Q35" s="172" t="n">
        <v>17</v>
      </c>
      <c r="R35" s="172" t="n">
        <v>2</v>
      </c>
      <c r="S35" s="172" t="inlineStr">
        <is>
          <t>Census PEP Vintage 2019</t>
        </is>
      </c>
      <c r="T35" s="172" t="inlineStr">
        <is>
          <t>https://www2.census.gov/programs-surveys/popest/datasets/2010-2019/national/totals/nst-est2019-alldata.csv</t>
        </is>
      </c>
    </row>
    <row r="36">
      <c r="A36" s="172" t="n">
        <v>2015</v>
      </c>
      <c r="B36" t="inlineStr">
        <is>
          <t>NY</t>
        </is>
      </c>
      <c r="C36" t="inlineStr">
        <is>
          <t>36</t>
        </is>
      </c>
      <c r="D36" t="inlineStr">
        <is>
          <t>New York</t>
        </is>
      </c>
      <c r="E36" s="172" t="n">
        <v>19</v>
      </c>
      <c r="F36" s="172" t="n">
        <v>19654666</v>
      </c>
      <c r="G36" s="172" t="n">
        <v>0.09669999999999999</v>
      </c>
      <c r="H36" s="172" t="n">
        <v>0.9667</v>
      </c>
      <c r="I36" s="172" t="n">
        <v>3</v>
      </c>
      <c r="J36" t="n">
        <v>0.1526</v>
      </c>
      <c r="K36" s="172" t="n">
        <v>12</v>
      </c>
      <c r="L36" t="n">
        <v>0.6105</v>
      </c>
      <c r="M36" s="172" t="n">
        <v>6</v>
      </c>
      <c r="N36" t="n">
        <v>0.3053</v>
      </c>
      <c r="O36" s="172" t="n">
        <v>0</v>
      </c>
      <c r="P36" t="n">
        <v>0</v>
      </c>
      <c r="Q36" s="172" t="n">
        <v>19</v>
      </c>
      <c r="R36" s="172" t="n">
        <v>0</v>
      </c>
      <c r="S36" s="172" t="inlineStr">
        <is>
          <t>Census PEP Vintage 2019</t>
        </is>
      </c>
      <c r="T36" s="172" t="inlineStr">
        <is>
          <t>https://www2.census.gov/programs-surveys/popest/datasets/2010-2019/national/totals/nst-est2019-alldata.csv</t>
        </is>
      </c>
    </row>
    <row r="37">
      <c r="A37" s="172" t="n">
        <v>2015</v>
      </c>
      <c r="B37" t="inlineStr">
        <is>
          <t>OH</t>
        </is>
      </c>
      <c r="C37" t="inlineStr">
        <is>
          <t>39</t>
        </is>
      </c>
      <c r="D37" t="inlineStr">
        <is>
          <t>Ohio</t>
        </is>
      </c>
      <c r="E37" s="172" t="n">
        <v>29</v>
      </c>
      <c r="F37" s="172" t="n">
        <v>11617527</v>
      </c>
      <c r="G37" s="172" t="n">
        <v>0.2496</v>
      </c>
      <c r="H37" s="172" t="n">
        <v>2.4962</v>
      </c>
      <c r="I37" s="172" t="n">
        <v>5</v>
      </c>
      <c r="J37" t="n">
        <v>0.4304</v>
      </c>
      <c r="K37" s="172" t="n">
        <v>19</v>
      </c>
      <c r="L37" t="n">
        <v>1.6355</v>
      </c>
      <c r="M37" s="172" t="n">
        <v>7</v>
      </c>
      <c r="N37" t="n">
        <v>0.6025</v>
      </c>
      <c r="O37" s="172" t="n">
        <v>2</v>
      </c>
      <c r="P37" t="n">
        <v>0.1722</v>
      </c>
      <c r="Q37" s="172" t="n">
        <v>28</v>
      </c>
      <c r="R37" s="172" t="n">
        <v>1</v>
      </c>
      <c r="S37" s="172" t="inlineStr">
        <is>
          <t>Census PEP Vintage 2019</t>
        </is>
      </c>
      <c r="T37" s="172" t="inlineStr">
        <is>
          <t>https://www2.census.gov/programs-surveys/popest/datasets/2010-2019/national/totals/nst-est2019-alldata.csv</t>
        </is>
      </c>
    </row>
    <row r="38">
      <c r="A38" s="172" t="n">
        <v>2015</v>
      </c>
      <c r="B38" t="inlineStr">
        <is>
          <t>OK</t>
        </is>
      </c>
      <c r="C38" t="inlineStr">
        <is>
          <t>40</t>
        </is>
      </c>
      <c r="D38" t="inlineStr">
        <is>
          <t>Oklahoma</t>
        </is>
      </c>
      <c r="E38" s="172" t="n">
        <v>32</v>
      </c>
      <c r="F38" s="172" t="n">
        <v>3909500</v>
      </c>
      <c r="G38" s="172" t="n">
        <v>0.8185</v>
      </c>
      <c r="H38" s="172" t="n">
        <v>8.1852</v>
      </c>
      <c r="I38" s="172" t="n">
        <v>4</v>
      </c>
      <c r="J38" t="n">
        <v>1.0231</v>
      </c>
      <c r="K38" s="172" t="n">
        <v>20</v>
      </c>
      <c r="L38" t="n">
        <v>5.1157</v>
      </c>
      <c r="M38" s="172" t="n">
        <v>7</v>
      </c>
      <c r="N38" t="n">
        <v>1.7905</v>
      </c>
      <c r="O38" s="172" t="n">
        <v>3</v>
      </c>
      <c r="P38" t="n">
        <v>0.7674</v>
      </c>
      <c r="Q38" s="172" t="n">
        <v>32</v>
      </c>
      <c r="R38" s="172" t="n">
        <v>0</v>
      </c>
      <c r="S38" s="172" t="inlineStr">
        <is>
          <t>Census PEP Vintage 2019</t>
        </is>
      </c>
      <c r="T38" s="172" t="inlineStr">
        <is>
          <t>https://www2.census.gov/programs-surveys/popest/datasets/2010-2019/national/totals/nst-est2019-alldata.csv</t>
        </is>
      </c>
    </row>
    <row r="39">
      <c r="A39" s="172" t="n">
        <v>2015</v>
      </c>
      <c r="B39" t="inlineStr">
        <is>
          <t>OR</t>
        </is>
      </c>
      <c r="C39" t="inlineStr">
        <is>
          <t>41</t>
        </is>
      </c>
      <c r="D39" t="inlineStr">
        <is>
          <t>Oregon</t>
        </is>
      </c>
      <c r="E39" s="172" t="n">
        <v>15</v>
      </c>
      <c r="F39" s="172" t="n">
        <v>4015792</v>
      </c>
      <c r="G39" s="172" t="n">
        <v>0.3735</v>
      </c>
      <c r="H39" s="172" t="n">
        <v>3.7353</v>
      </c>
      <c r="I39" s="172" t="n">
        <v>0</v>
      </c>
      <c r="J39" t="n">
        <v>0</v>
      </c>
      <c r="K39" s="172" t="n">
        <v>10</v>
      </c>
      <c r="L39" t="n">
        <v>2.4902</v>
      </c>
      <c r="M39" s="172" t="n">
        <v>7</v>
      </c>
      <c r="N39" t="n">
        <v>1.7431</v>
      </c>
      <c r="O39" s="172" t="n">
        <v>0</v>
      </c>
      <c r="P39" t="n">
        <v>0</v>
      </c>
      <c r="Q39" s="172" t="n">
        <v>14</v>
      </c>
      <c r="R39" s="172" t="n">
        <v>1</v>
      </c>
      <c r="S39" s="172" t="inlineStr">
        <is>
          <t>Census PEP Vintage 2019</t>
        </is>
      </c>
      <c r="T39" s="172" t="inlineStr">
        <is>
          <t>https://www2.census.gov/programs-surveys/popest/datasets/2010-2019/national/totals/nst-est2019-alldata.csv</t>
        </is>
      </c>
    </row>
    <row r="40">
      <c r="A40" s="172" t="n">
        <v>2015</v>
      </c>
      <c r="B40" t="inlineStr">
        <is>
          <t>PA</t>
        </is>
      </c>
      <c r="C40" t="inlineStr">
        <is>
          <t>42</t>
        </is>
      </c>
      <c r="D40" t="inlineStr">
        <is>
          <t>Pennsylvania</t>
        </is>
      </c>
      <c r="E40" s="172" t="n">
        <v>18</v>
      </c>
      <c r="F40" s="172" t="n">
        <v>12784826</v>
      </c>
      <c r="G40" s="172" t="n">
        <v>0.1408</v>
      </c>
      <c r="H40" s="172" t="n">
        <v>1.4079</v>
      </c>
      <c r="I40" s="172" t="n">
        <v>2</v>
      </c>
      <c r="J40" t="n">
        <v>0.1564</v>
      </c>
      <c r="K40" s="172" t="n">
        <v>10</v>
      </c>
      <c r="L40" t="n">
        <v>0.7822</v>
      </c>
      <c r="M40" s="172" t="n">
        <v>5</v>
      </c>
      <c r="N40" t="n">
        <v>0.3911</v>
      </c>
      <c r="O40" s="172" t="n">
        <v>0</v>
      </c>
      <c r="P40" t="n">
        <v>0</v>
      </c>
      <c r="Q40" s="172" t="n">
        <v>17</v>
      </c>
      <c r="R40" s="172" t="n">
        <v>1</v>
      </c>
      <c r="S40" s="172" t="inlineStr">
        <is>
          <t>Census PEP Vintage 2019</t>
        </is>
      </c>
      <c r="T40" s="172" t="inlineStr">
        <is>
          <t>https://www2.census.gov/programs-surveys/popest/datasets/2010-2019/national/totals/nst-est2019-alldata.csv</t>
        </is>
      </c>
    </row>
    <row r="41">
      <c r="A41" s="172" t="n">
        <v>2015</v>
      </c>
      <c r="B41" t="inlineStr">
        <is>
          <t>RI</t>
        </is>
      </c>
      <c r="C41" t="inlineStr">
        <is>
          <t>44</t>
        </is>
      </c>
      <c r="D41" t="inlineStr">
        <is>
          <t>Rhode Island</t>
        </is>
      </c>
      <c r="E41" s="172" t="n">
        <v>0</v>
      </c>
      <c r="F41" s="172" t="n">
        <v>1056065</v>
      </c>
      <c r="G41" s="172" t="n">
        <v>0</v>
      </c>
      <c r="H41" s="172" t="n">
        <v>0</v>
      </c>
      <c r="I41" s="172" t="n">
        <v>0</v>
      </c>
      <c r="J41" t="n">
        <v>0</v>
      </c>
      <c r="K41" s="172" t="n">
        <v>0</v>
      </c>
      <c r="L41" t="n">
        <v>0</v>
      </c>
      <c r="M41" s="172" t="n">
        <v>0</v>
      </c>
      <c r="N41" t="n">
        <v>0</v>
      </c>
      <c r="O41" s="172" t="n">
        <v>0</v>
      </c>
      <c r="P41" t="n">
        <v>0</v>
      </c>
      <c r="Q41" s="172" t="n">
        <v>0</v>
      </c>
      <c r="R41" s="172" t="n">
        <v>0</v>
      </c>
      <c r="S41" s="172" t="inlineStr">
        <is>
          <t>Census PEP Vintage 2019</t>
        </is>
      </c>
      <c r="T41" s="172" t="inlineStr">
        <is>
          <t>https://www2.census.gov/programs-surveys/popest/datasets/2010-2019/national/totals/nst-est2019-alldata.csv</t>
        </is>
      </c>
    </row>
    <row r="42">
      <c r="A42" s="172" t="n">
        <v>2015</v>
      </c>
      <c r="B42" t="inlineStr">
        <is>
          <t>SC</t>
        </is>
      </c>
      <c r="C42" t="inlineStr">
        <is>
          <t>45</t>
        </is>
      </c>
      <c r="D42" t="inlineStr">
        <is>
          <t>South Carolina</t>
        </is>
      </c>
      <c r="E42" s="172" t="n">
        <v>19</v>
      </c>
      <c r="F42" s="172" t="n">
        <v>4891938</v>
      </c>
      <c r="G42" s="172" t="n">
        <v>0.3884</v>
      </c>
      <c r="H42" s="172" t="n">
        <v>3.8839</v>
      </c>
      <c r="I42" s="172" t="n">
        <v>1</v>
      </c>
      <c r="J42" t="n">
        <v>0.2044</v>
      </c>
      <c r="K42" s="172" t="n">
        <v>12</v>
      </c>
      <c r="L42" t="n">
        <v>2.453</v>
      </c>
      <c r="M42" s="172" t="n">
        <v>2</v>
      </c>
      <c r="N42" t="n">
        <v>0.4088</v>
      </c>
      <c r="O42" s="172" t="n">
        <v>0</v>
      </c>
      <c r="P42" t="n">
        <v>0</v>
      </c>
      <c r="Q42" s="172" t="n">
        <v>19</v>
      </c>
      <c r="R42" s="172" t="n">
        <v>0</v>
      </c>
      <c r="S42" s="172" t="inlineStr">
        <is>
          <t>Census PEP Vintage 2019</t>
        </is>
      </c>
      <c r="T42" s="172" t="inlineStr">
        <is>
          <t>https://www2.census.gov/programs-surveys/popest/datasets/2010-2019/national/totals/nst-est2019-alldata.csv</t>
        </is>
      </c>
    </row>
    <row r="43">
      <c r="A43" s="172" t="n">
        <v>2015</v>
      </c>
      <c r="B43" t="inlineStr">
        <is>
          <t>SD</t>
        </is>
      </c>
      <c r="C43" t="inlineStr">
        <is>
          <t>46</t>
        </is>
      </c>
      <c r="D43" t="inlineStr">
        <is>
          <t>South Dakota</t>
        </is>
      </c>
      <c r="E43" s="172" t="n">
        <v>3</v>
      </c>
      <c r="F43" s="172" t="n">
        <v>853988</v>
      </c>
      <c r="G43" s="172" t="n">
        <v>0.3513</v>
      </c>
      <c r="H43" s="172" t="n">
        <v>3.5129</v>
      </c>
      <c r="I43" s="172" t="n">
        <v>0</v>
      </c>
      <c r="J43" t="n">
        <v>0</v>
      </c>
      <c r="K43" s="172" t="n">
        <v>2</v>
      </c>
      <c r="L43" t="n">
        <v>2.342</v>
      </c>
      <c r="M43" s="172" t="n">
        <v>2</v>
      </c>
      <c r="N43" t="n">
        <v>2.342</v>
      </c>
      <c r="O43" s="172" t="n">
        <v>0</v>
      </c>
      <c r="P43" t="n">
        <v>0</v>
      </c>
      <c r="Q43" s="172" t="n">
        <v>3</v>
      </c>
      <c r="R43" s="172" t="n">
        <v>0</v>
      </c>
      <c r="S43" s="172" t="inlineStr">
        <is>
          <t>Census PEP Vintage 2019</t>
        </is>
      </c>
      <c r="T43" s="172" t="inlineStr">
        <is>
          <t>https://www2.census.gov/programs-surveys/popest/datasets/2010-2019/national/totals/nst-est2019-alldata.csv</t>
        </is>
      </c>
    </row>
    <row r="44">
      <c r="A44" s="172" t="n">
        <v>2015</v>
      </c>
      <c r="B44" t="inlineStr">
        <is>
          <t>TN</t>
        </is>
      </c>
      <c r="C44" t="inlineStr">
        <is>
          <t>47</t>
        </is>
      </c>
      <c r="D44" t="inlineStr">
        <is>
          <t>Tennessee</t>
        </is>
      </c>
      <c r="E44" s="172" t="n">
        <v>20</v>
      </c>
      <c r="F44" s="172" t="n">
        <v>6591170</v>
      </c>
      <c r="G44" s="172" t="n">
        <v>0.3034</v>
      </c>
      <c r="H44" s="172" t="n">
        <v>3.0344</v>
      </c>
      <c r="I44" s="172" t="n">
        <v>1</v>
      </c>
      <c r="J44" t="n">
        <v>0.1517</v>
      </c>
      <c r="K44" s="172" t="n">
        <v>11</v>
      </c>
      <c r="L44" t="n">
        <v>1.6689</v>
      </c>
      <c r="M44" s="172" t="n">
        <v>6</v>
      </c>
      <c r="N44" t="n">
        <v>0.9103</v>
      </c>
      <c r="O44" s="172" t="n">
        <v>0</v>
      </c>
      <c r="P44" t="n">
        <v>0</v>
      </c>
      <c r="Q44" s="172" t="n">
        <v>19</v>
      </c>
      <c r="R44" s="172" t="n">
        <v>1</v>
      </c>
      <c r="S44" s="172" t="inlineStr">
        <is>
          <t>Census PEP Vintage 2019</t>
        </is>
      </c>
      <c r="T44" s="172" t="inlineStr">
        <is>
          <t>https://www2.census.gov/programs-surveys/popest/datasets/2010-2019/national/totals/nst-est2019-alldata.csv</t>
        </is>
      </c>
    </row>
    <row r="45">
      <c r="A45" s="172" t="n">
        <v>2015</v>
      </c>
      <c r="B45" t="inlineStr">
        <is>
          <t>TX</t>
        </is>
      </c>
      <c r="C45" t="inlineStr">
        <is>
          <t>48</t>
        </is>
      </c>
      <c r="D45" t="inlineStr">
        <is>
          <t>Texas</t>
        </is>
      </c>
      <c r="E45" s="172" t="n">
        <v>101</v>
      </c>
      <c r="F45" s="172" t="n">
        <v>27470056</v>
      </c>
      <c r="G45" s="172" t="n">
        <v>0.3677</v>
      </c>
      <c r="H45" s="172" t="n">
        <v>3.6767</v>
      </c>
      <c r="I45" s="172" t="n">
        <v>6</v>
      </c>
      <c r="J45" t="n">
        <v>0.2184</v>
      </c>
      <c r="K45" s="172" t="n">
        <v>64</v>
      </c>
      <c r="L45" t="n">
        <v>2.3298</v>
      </c>
      <c r="M45" s="172" t="n">
        <v>25</v>
      </c>
      <c r="N45" t="n">
        <v>0.9101</v>
      </c>
      <c r="O45" s="172" t="n">
        <v>3</v>
      </c>
      <c r="P45" t="n">
        <v>0.1092</v>
      </c>
      <c r="Q45" s="172" t="n">
        <v>101</v>
      </c>
      <c r="R45" s="172" t="n">
        <v>0</v>
      </c>
      <c r="S45" s="172" t="inlineStr">
        <is>
          <t>Census PEP Vintage 2019</t>
        </is>
      </c>
      <c r="T45" s="172" t="inlineStr">
        <is>
          <t>https://www2.census.gov/programs-surveys/popest/datasets/2010-2019/national/totals/nst-est2019-alldata.csv</t>
        </is>
      </c>
    </row>
    <row r="46">
      <c r="A46" s="172" t="n">
        <v>2015</v>
      </c>
      <c r="B46" t="inlineStr">
        <is>
          <t>UT</t>
        </is>
      </c>
      <c r="C46" t="inlineStr">
        <is>
          <t>49</t>
        </is>
      </c>
      <c r="D46" t="inlineStr">
        <is>
          <t>Utah</t>
        </is>
      </c>
      <c r="E46" s="172" t="n">
        <v>10</v>
      </c>
      <c r="F46" s="172" t="n">
        <v>2981835</v>
      </c>
      <c r="G46" s="172" t="n">
        <v>0.3354</v>
      </c>
      <c r="H46" s="172" t="n">
        <v>3.3536</v>
      </c>
      <c r="I46" s="172" t="n">
        <v>0</v>
      </c>
      <c r="J46" t="n">
        <v>0</v>
      </c>
      <c r="K46" s="172" t="n">
        <v>6</v>
      </c>
      <c r="L46" t="n">
        <v>2.0122</v>
      </c>
      <c r="M46" s="172" t="n">
        <v>5</v>
      </c>
      <c r="N46" t="n">
        <v>1.6768</v>
      </c>
      <c r="O46" s="172" t="n">
        <v>5</v>
      </c>
      <c r="P46" t="n">
        <v>1.6768</v>
      </c>
      <c r="Q46" s="172" t="n">
        <v>10</v>
      </c>
      <c r="R46" s="172" t="n">
        <v>0</v>
      </c>
      <c r="S46" s="172" t="inlineStr">
        <is>
          <t>Census PEP Vintage 2019</t>
        </is>
      </c>
      <c r="T46" s="172" t="inlineStr">
        <is>
          <t>https://www2.census.gov/programs-surveys/popest/datasets/2010-2019/national/totals/nst-est2019-alldata.csv</t>
        </is>
      </c>
    </row>
    <row r="47">
      <c r="A47" s="172" t="n">
        <v>2015</v>
      </c>
      <c r="B47" t="inlineStr">
        <is>
          <t>VA</t>
        </is>
      </c>
      <c r="C47" t="inlineStr">
        <is>
          <t>51</t>
        </is>
      </c>
      <c r="D47" t="inlineStr">
        <is>
          <t>Virginia</t>
        </is>
      </c>
      <c r="E47" s="172" t="n">
        <v>17</v>
      </c>
      <c r="F47" s="172" t="n">
        <v>8361808</v>
      </c>
      <c r="G47" s="172" t="n">
        <v>0.2033</v>
      </c>
      <c r="H47" s="172" t="n">
        <v>2.0331</v>
      </c>
      <c r="I47" s="172" t="n">
        <v>3</v>
      </c>
      <c r="J47" t="n">
        <v>0.3588</v>
      </c>
      <c r="K47" s="172" t="n">
        <v>11</v>
      </c>
      <c r="L47" t="n">
        <v>1.3155</v>
      </c>
      <c r="M47" s="172" t="n">
        <v>4</v>
      </c>
      <c r="N47" t="n">
        <v>0.4784</v>
      </c>
      <c r="O47" s="172" t="n">
        <v>4</v>
      </c>
      <c r="P47" t="n">
        <v>0.4784</v>
      </c>
      <c r="Q47" s="172" t="n">
        <v>17</v>
      </c>
      <c r="R47" s="172" t="n">
        <v>0</v>
      </c>
      <c r="S47" s="172" t="inlineStr">
        <is>
          <t>Census PEP Vintage 2019</t>
        </is>
      </c>
      <c r="T47" s="172" t="inlineStr">
        <is>
          <t>https://www2.census.gov/programs-surveys/popest/datasets/2010-2019/national/totals/nst-est2019-alldata.csv</t>
        </is>
      </c>
    </row>
    <row r="48">
      <c r="A48" s="172" t="n">
        <v>2015</v>
      </c>
      <c r="B48" t="inlineStr">
        <is>
          <t>VT</t>
        </is>
      </c>
      <c r="C48" t="inlineStr">
        <is>
          <t>50</t>
        </is>
      </c>
      <c r="D48" t="inlineStr">
        <is>
          <t>Vermont</t>
        </is>
      </c>
      <c r="E48" s="172" t="n">
        <v>1</v>
      </c>
      <c r="F48" s="172" t="n">
        <v>625216</v>
      </c>
      <c r="G48" s="172" t="n">
        <v>0.1599</v>
      </c>
      <c r="H48" s="172" t="n">
        <v>1.5994</v>
      </c>
      <c r="I48" s="172" t="n">
        <v>0</v>
      </c>
      <c r="J48" t="n">
        <v>0</v>
      </c>
      <c r="K48" s="172" t="n">
        <v>1</v>
      </c>
      <c r="L48" t="n">
        <v>1.5994</v>
      </c>
      <c r="M48" s="172" t="n">
        <v>0</v>
      </c>
      <c r="N48" t="n">
        <v>0</v>
      </c>
      <c r="O48" s="172" t="n">
        <v>1</v>
      </c>
      <c r="P48" t="n">
        <v>1.5994</v>
      </c>
      <c r="Q48" s="172" t="n">
        <v>1</v>
      </c>
      <c r="R48" s="172" t="n">
        <v>0</v>
      </c>
      <c r="S48" s="172" t="inlineStr">
        <is>
          <t>Census PEP Vintage 2019</t>
        </is>
      </c>
      <c r="T48" s="172" t="inlineStr">
        <is>
          <t>https://www2.census.gov/programs-surveys/popest/datasets/2010-2019/national/totals/nst-est2019-alldata.csv</t>
        </is>
      </c>
    </row>
    <row r="49">
      <c r="A49" s="172" t="n">
        <v>2015</v>
      </c>
      <c r="B49" t="inlineStr">
        <is>
          <t>WA</t>
        </is>
      </c>
      <c r="C49" t="inlineStr">
        <is>
          <t>53</t>
        </is>
      </c>
      <c r="D49" t="inlineStr">
        <is>
          <t>Washington</t>
        </is>
      </c>
      <c r="E49" s="172" t="n">
        <v>16</v>
      </c>
      <c r="F49" s="172" t="n">
        <v>7163657</v>
      </c>
      <c r="G49" s="172" t="n">
        <v>0.2233</v>
      </c>
      <c r="H49" s="172" t="n">
        <v>2.2335</v>
      </c>
      <c r="I49" s="172" t="n">
        <v>3</v>
      </c>
      <c r="J49" t="n">
        <v>0.4188</v>
      </c>
      <c r="K49" s="172" t="n">
        <v>10</v>
      </c>
      <c r="L49" t="n">
        <v>1.3959</v>
      </c>
      <c r="M49" s="172" t="n">
        <v>9</v>
      </c>
      <c r="N49" t="n">
        <v>1.2563</v>
      </c>
      <c r="O49" s="172" t="n">
        <v>0</v>
      </c>
      <c r="P49" t="n">
        <v>0</v>
      </c>
      <c r="Q49" s="172" t="n">
        <v>16</v>
      </c>
      <c r="R49" s="172" t="n">
        <v>0</v>
      </c>
      <c r="S49" s="172" t="inlineStr">
        <is>
          <t>Census PEP Vintage 2019</t>
        </is>
      </c>
      <c r="T49" s="172" t="inlineStr">
        <is>
          <t>https://www2.census.gov/programs-surveys/popest/datasets/2010-2019/national/totals/nst-est2019-alldata.csv</t>
        </is>
      </c>
    </row>
    <row r="50">
      <c r="A50" s="172" t="n">
        <v>2015</v>
      </c>
      <c r="B50" t="inlineStr">
        <is>
          <t>WI</t>
        </is>
      </c>
      <c r="C50" t="inlineStr">
        <is>
          <t>55</t>
        </is>
      </c>
      <c r="D50" t="inlineStr">
        <is>
          <t>Wisconsin</t>
        </is>
      </c>
      <c r="E50" s="172" t="n">
        <v>11</v>
      </c>
      <c r="F50" s="172" t="n">
        <v>5760940</v>
      </c>
      <c r="G50" s="172" t="n">
        <v>0.1909</v>
      </c>
      <c r="H50" s="172" t="n">
        <v>1.9094</v>
      </c>
      <c r="I50" s="172" t="n">
        <v>1</v>
      </c>
      <c r="J50" t="n">
        <v>0.1736</v>
      </c>
      <c r="K50" s="172" t="n">
        <v>6</v>
      </c>
      <c r="L50" t="n">
        <v>1.0415</v>
      </c>
      <c r="M50" s="172" t="n">
        <v>4</v>
      </c>
      <c r="N50" t="n">
        <v>0.6943</v>
      </c>
      <c r="O50" s="172" t="n">
        <v>0</v>
      </c>
      <c r="P50" t="n">
        <v>0</v>
      </c>
      <c r="Q50" s="172" t="n">
        <v>11</v>
      </c>
      <c r="R50" s="172" t="n">
        <v>0</v>
      </c>
      <c r="S50" s="172" t="inlineStr">
        <is>
          <t>Census PEP Vintage 2019</t>
        </is>
      </c>
      <c r="T50" s="172" t="inlineStr">
        <is>
          <t>https://www2.census.gov/programs-surveys/popest/datasets/2010-2019/national/totals/nst-est2019-alldata.csv</t>
        </is>
      </c>
    </row>
    <row r="51">
      <c r="A51" s="172" t="n">
        <v>2015</v>
      </c>
      <c r="B51" t="inlineStr">
        <is>
          <t>WV</t>
        </is>
      </c>
      <c r="C51" t="inlineStr">
        <is>
          <t>54</t>
        </is>
      </c>
      <c r="D51" t="inlineStr">
        <is>
          <t>West Virginia</t>
        </is>
      </c>
      <c r="E51" s="172" t="n">
        <v>10</v>
      </c>
      <c r="F51" s="172" t="n">
        <v>1842050</v>
      </c>
      <c r="G51" s="172" t="n">
        <v>0.5429</v>
      </c>
      <c r="H51" s="172" t="n">
        <v>5.4287</v>
      </c>
      <c r="I51" s="172" t="n">
        <v>0</v>
      </c>
      <c r="J51" t="n">
        <v>0</v>
      </c>
      <c r="K51" s="172" t="n">
        <v>7</v>
      </c>
      <c r="L51" t="n">
        <v>3.8001</v>
      </c>
      <c r="M51" s="172" t="n">
        <v>1</v>
      </c>
      <c r="N51" t="n">
        <v>0.5429</v>
      </c>
      <c r="O51" s="172" t="n">
        <v>0</v>
      </c>
      <c r="P51" t="n">
        <v>0</v>
      </c>
      <c r="Q51" s="172" t="n">
        <v>8</v>
      </c>
      <c r="R51" s="172" t="n">
        <v>2</v>
      </c>
      <c r="S51" s="172" t="inlineStr">
        <is>
          <t>Census PEP Vintage 2019</t>
        </is>
      </c>
      <c r="T51" s="172" t="inlineStr">
        <is>
          <t>https://www2.census.gov/programs-surveys/popest/datasets/2010-2019/national/totals/nst-est2019-alldata.csv</t>
        </is>
      </c>
    </row>
    <row r="52">
      <c r="A52" s="172" t="n">
        <v>2015</v>
      </c>
      <c r="B52" t="inlineStr">
        <is>
          <t>WY</t>
        </is>
      </c>
      <c r="C52" t="inlineStr">
        <is>
          <t>56</t>
        </is>
      </c>
      <c r="D52" t="inlineStr">
        <is>
          <t>Wyoming</t>
        </is>
      </c>
      <c r="E52" s="172" t="n">
        <v>6</v>
      </c>
      <c r="F52" s="172" t="n">
        <v>585613</v>
      </c>
      <c r="G52" s="172" t="n">
        <v>1.0246</v>
      </c>
      <c r="H52" s="172" t="n">
        <v>10.2457</v>
      </c>
      <c r="I52" s="172" t="n">
        <v>0</v>
      </c>
      <c r="J52" t="n">
        <v>0</v>
      </c>
      <c r="K52" s="172" t="n">
        <v>2</v>
      </c>
      <c r="L52" t="n">
        <v>3.4152</v>
      </c>
      <c r="M52" s="172" t="n">
        <v>1</v>
      </c>
      <c r="N52" t="n">
        <v>1.7076</v>
      </c>
      <c r="O52" s="172" t="n">
        <v>0</v>
      </c>
      <c r="P52" t="n">
        <v>0</v>
      </c>
      <c r="Q52" s="172" t="n">
        <v>6</v>
      </c>
      <c r="R52" s="172" t="n">
        <v>0</v>
      </c>
      <c r="S52" s="172" t="inlineStr">
        <is>
          <t>Census PEP Vintage 2019</t>
        </is>
      </c>
      <c r="T52" s="172" t="inlineStr">
        <is>
          <t>https://www2.census.gov/programs-surveys/popest/datasets/2010-2019/national/totals/nst-est2019-alldata.csv</t>
        </is>
      </c>
    </row>
    <row r="53">
      <c r="A53" s="172" t="n">
        <v>2016</v>
      </c>
      <c r="B53" t="inlineStr">
        <is>
          <t>AK</t>
        </is>
      </c>
      <c r="C53" t="inlineStr">
        <is>
          <t>02</t>
        </is>
      </c>
      <c r="D53" t="inlineStr">
        <is>
          <t>Alaska</t>
        </is>
      </c>
      <c r="E53" s="172" t="n">
        <v>8</v>
      </c>
      <c r="F53" s="172" t="n">
        <v>741456</v>
      </c>
      <c r="G53" s="172" t="n">
        <v>1.079</v>
      </c>
      <c r="H53" s="172" t="n">
        <v>10.7896</v>
      </c>
      <c r="I53" s="172" t="n">
        <v>0</v>
      </c>
      <c r="J53" t="n">
        <v>0</v>
      </c>
      <c r="K53" s="172" t="n">
        <v>5</v>
      </c>
      <c r="L53" t="n">
        <v>6.7435</v>
      </c>
      <c r="M53" s="172" t="n">
        <v>3</v>
      </c>
      <c r="N53" t="n">
        <v>4.0461</v>
      </c>
      <c r="O53" s="172" t="n">
        <v>1</v>
      </c>
      <c r="P53" t="n">
        <v>1.3487</v>
      </c>
      <c r="Q53" s="172" t="n">
        <v>8</v>
      </c>
      <c r="R53" s="172" t="n">
        <v>0</v>
      </c>
      <c r="S53" s="172" t="inlineStr">
        <is>
          <t>Census PEP Vintage 2019</t>
        </is>
      </c>
      <c r="T53" s="172" t="inlineStr">
        <is>
          <t>https://www2.census.gov/programs-surveys/popest/datasets/2010-2019/national/totals/nst-est2019-alldata.csv</t>
        </is>
      </c>
    </row>
    <row r="54">
      <c r="A54" s="172" t="n">
        <v>2016</v>
      </c>
      <c r="B54" t="inlineStr">
        <is>
          <t>AL</t>
        </is>
      </c>
      <c r="C54" t="inlineStr">
        <is>
          <t>01</t>
        </is>
      </c>
      <c r="D54" t="inlineStr">
        <is>
          <t>Alabama</t>
        </is>
      </c>
      <c r="E54" s="172" t="n">
        <v>24</v>
      </c>
      <c r="F54" s="172" t="n">
        <v>4863525</v>
      </c>
      <c r="G54" s="172" t="n">
        <v>0.4935</v>
      </c>
      <c r="H54" s="172" t="n">
        <v>4.9347</v>
      </c>
      <c r="I54" s="172" t="n">
        <v>0</v>
      </c>
      <c r="J54" t="n">
        <v>0</v>
      </c>
      <c r="K54" s="172" t="n">
        <v>15</v>
      </c>
      <c r="L54" t="n">
        <v>3.0842</v>
      </c>
      <c r="M54" s="172" t="n">
        <v>2</v>
      </c>
      <c r="N54" t="n">
        <v>0.4112</v>
      </c>
      <c r="O54" s="172" t="n">
        <v>8</v>
      </c>
      <c r="P54" t="n">
        <v>1.6449</v>
      </c>
      <c r="Q54" s="172" t="n">
        <v>22</v>
      </c>
      <c r="R54" s="172" t="n">
        <v>2</v>
      </c>
      <c r="S54" s="172" t="inlineStr">
        <is>
          <t>Census PEP Vintage 2019</t>
        </is>
      </c>
      <c r="T54" s="172" t="inlineStr">
        <is>
          <t>https://www2.census.gov/programs-surveys/popest/datasets/2010-2019/national/totals/nst-est2019-alldata.csv</t>
        </is>
      </c>
    </row>
    <row r="55">
      <c r="A55" s="172" t="n">
        <v>2016</v>
      </c>
      <c r="B55" t="inlineStr">
        <is>
          <t>AR</t>
        </is>
      </c>
      <c r="C55" t="inlineStr">
        <is>
          <t>05</t>
        </is>
      </c>
      <c r="D55" t="inlineStr">
        <is>
          <t>Arkansas</t>
        </is>
      </c>
      <c r="E55" s="172" t="n">
        <v>15</v>
      </c>
      <c r="F55" s="172" t="n">
        <v>2989918</v>
      </c>
      <c r="G55" s="172" t="n">
        <v>0.5017</v>
      </c>
      <c r="H55" s="172" t="n">
        <v>5.0169</v>
      </c>
      <c r="I55" s="172" t="n">
        <v>0</v>
      </c>
      <c r="J55" t="n">
        <v>0</v>
      </c>
      <c r="K55" s="172" t="n">
        <v>9</v>
      </c>
      <c r="L55" t="n">
        <v>3.0101</v>
      </c>
      <c r="M55" s="172" t="n">
        <v>3</v>
      </c>
      <c r="N55" t="n">
        <v>1.0034</v>
      </c>
      <c r="O55" s="172" t="n">
        <v>1</v>
      </c>
      <c r="P55" t="n">
        <v>0.3345</v>
      </c>
      <c r="Q55" s="172" t="n">
        <v>12</v>
      </c>
      <c r="R55" s="172" t="n">
        <v>3</v>
      </c>
      <c r="S55" s="172" t="inlineStr">
        <is>
          <t>Census PEP Vintage 2019</t>
        </is>
      </c>
      <c r="T55" s="172" t="inlineStr">
        <is>
          <t>https://www2.census.gov/programs-surveys/popest/datasets/2010-2019/national/totals/nst-est2019-alldata.csv</t>
        </is>
      </c>
    </row>
    <row r="56">
      <c r="A56" s="172" t="n">
        <v>2016</v>
      </c>
      <c r="B56" t="inlineStr">
        <is>
          <t>AZ</t>
        </is>
      </c>
      <c r="C56" t="inlineStr">
        <is>
          <t>04</t>
        </is>
      </c>
      <c r="D56" t="inlineStr">
        <is>
          <t>Arizona</t>
        </is>
      </c>
      <c r="E56" s="172" t="n">
        <v>49</v>
      </c>
      <c r="F56" s="172" t="n">
        <v>6941072</v>
      </c>
      <c r="G56" s="172" t="n">
        <v>0.7059</v>
      </c>
      <c r="H56" s="172" t="n">
        <v>7.0594</v>
      </c>
      <c r="I56" s="172" t="n">
        <v>4</v>
      </c>
      <c r="J56" t="n">
        <v>0.5763</v>
      </c>
      <c r="K56" s="172" t="n">
        <v>23</v>
      </c>
      <c r="L56" t="n">
        <v>3.3136</v>
      </c>
      <c r="M56" s="172" t="n">
        <v>15</v>
      </c>
      <c r="N56" t="n">
        <v>2.161</v>
      </c>
      <c r="O56" s="172" t="n">
        <v>12</v>
      </c>
      <c r="P56" t="n">
        <v>1.7288</v>
      </c>
      <c r="Q56" s="172" t="n">
        <v>47</v>
      </c>
      <c r="R56" s="172" t="n">
        <v>2</v>
      </c>
      <c r="S56" s="172" t="inlineStr">
        <is>
          <t>Census PEP Vintage 2019</t>
        </is>
      </c>
      <c r="T56" s="172" t="inlineStr">
        <is>
          <t>https://www2.census.gov/programs-surveys/popest/datasets/2010-2019/national/totals/nst-est2019-alldata.csv</t>
        </is>
      </c>
    </row>
    <row r="57">
      <c r="A57" s="172" t="n">
        <v>2016</v>
      </c>
      <c r="B57" t="inlineStr">
        <is>
          <t>CA</t>
        </is>
      </c>
      <c r="C57" t="inlineStr">
        <is>
          <t>06</t>
        </is>
      </c>
      <c r="D57" t="inlineStr">
        <is>
          <t>California</t>
        </is>
      </c>
      <c r="E57" s="172" t="n">
        <v>139</v>
      </c>
      <c r="F57" s="172" t="n">
        <v>39167117</v>
      </c>
      <c r="G57" s="172" t="n">
        <v>0.3549</v>
      </c>
      <c r="H57" s="172" t="n">
        <v>3.5489</v>
      </c>
      <c r="I57" s="172" t="n">
        <v>15</v>
      </c>
      <c r="J57" t="n">
        <v>0.383</v>
      </c>
      <c r="K57" s="172" t="n">
        <v>49</v>
      </c>
      <c r="L57" t="n">
        <v>1.251</v>
      </c>
      <c r="M57" s="172" t="n">
        <v>33</v>
      </c>
      <c r="N57" t="n">
        <v>0.8425</v>
      </c>
      <c r="O57" s="172" t="n">
        <v>23</v>
      </c>
      <c r="P57" t="n">
        <v>0.5872000000000001</v>
      </c>
      <c r="Q57" s="172" t="n">
        <v>131</v>
      </c>
      <c r="R57" s="172" t="n">
        <v>8</v>
      </c>
      <c r="S57" s="172" t="inlineStr">
        <is>
          <t>Census PEP Vintage 2019</t>
        </is>
      </c>
      <c r="T57" s="172" t="inlineStr">
        <is>
          <t>https://www2.census.gov/programs-surveys/popest/datasets/2010-2019/national/totals/nst-est2019-alldata.csv</t>
        </is>
      </c>
    </row>
    <row r="58">
      <c r="A58" s="172" t="n">
        <v>2016</v>
      </c>
      <c r="B58" t="inlineStr">
        <is>
          <t>CO</t>
        </is>
      </c>
      <c r="C58" t="inlineStr">
        <is>
          <t>08</t>
        </is>
      </c>
      <c r="D58" t="inlineStr">
        <is>
          <t>Colorado</t>
        </is>
      </c>
      <c r="E58" s="172" t="n">
        <v>31</v>
      </c>
      <c r="F58" s="172" t="n">
        <v>5539215</v>
      </c>
      <c r="G58" s="172" t="n">
        <v>0.5596</v>
      </c>
      <c r="H58" s="172" t="n">
        <v>5.5965</v>
      </c>
      <c r="I58" s="172" t="n">
        <v>1</v>
      </c>
      <c r="J58" t="n">
        <v>0.1805</v>
      </c>
      <c r="K58" s="172" t="n">
        <v>22</v>
      </c>
      <c r="L58" t="n">
        <v>3.9717</v>
      </c>
      <c r="M58" s="172" t="n">
        <v>5</v>
      </c>
      <c r="N58" t="n">
        <v>0.9026999999999999</v>
      </c>
      <c r="O58" s="172" t="n">
        <v>5</v>
      </c>
      <c r="P58" t="n">
        <v>0.9026999999999999</v>
      </c>
      <c r="Q58" s="172" t="n">
        <v>28</v>
      </c>
      <c r="R58" s="172" t="n">
        <v>3</v>
      </c>
      <c r="S58" s="172" t="inlineStr">
        <is>
          <t>Census PEP Vintage 2019</t>
        </is>
      </c>
      <c r="T58" s="172" t="inlineStr">
        <is>
          <t>https://www2.census.gov/programs-surveys/popest/datasets/2010-2019/national/totals/nst-est2019-alldata.csv</t>
        </is>
      </c>
    </row>
    <row r="59">
      <c r="A59" s="172" t="n">
        <v>2016</v>
      </c>
      <c r="B59" t="inlineStr">
        <is>
          <t>CT</t>
        </is>
      </c>
      <c r="C59" t="inlineStr">
        <is>
          <t>09</t>
        </is>
      </c>
      <c r="D59" t="inlineStr">
        <is>
          <t>Connecticut</t>
        </is>
      </c>
      <c r="E59" s="172" t="n">
        <v>3</v>
      </c>
      <c r="F59" s="172" t="n">
        <v>3578141</v>
      </c>
      <c r="G59" s="172" t="n">
        <v>0.0838</v>
      </c>
      <c r="H59" s="172" t="n">
        <v>0.8384</v>
      </c>
      <c r="I59" s="172" t="n">
        <v>0</v>
      </c>
      <c r="J59" t="n">
        <v>0</v>
      </c>
      <c r="K59" s="172" t="n">
        <v>0</v>
      </c>
      <c r="L59" t="n">
        <v>0</v>
      </c>
      <c r="M59" s="172" t="n">
        <v>2</v>
      </c>
      <c r="N59" t="n">
        <v>0.5589</v>
      </c>
      <c r="O59" s="172" t="n">
        <v>0</v>
      </c>
      <c r="P59" t="n">
        <v>0</v>
      </c>
      <c r="Q59" s="172" t="n">
        <v>3</v>
      </c>
      <c r="R59" s="172" t="n">
        <v>0</v>
      </c>
      <c r="S59" s="172" t="inlineStr">
        <is>
          <t>Census PEP Vintage 2019</t>
        </is>
      </c>
      <c r="T59" s="172" t="inlineStr">
        <is>
          <t>https://www2.census.gov/programs-surveys/popest/datasets/2010-2019/national/totals/nst-est2019-alldata.csv</t>
        </is>
      </c>
    </row>
    <row r="60">
      <c r="A60" s="172" t="n">
        <v>2016</v>
      </c>
      <c r="B60" t="inlineStr">
        <is>
          <t>DC</t>
        </is>
      </c>
      <c r="C60" t="inlineStr">
        <is>
          <t>11</t>
        </is>
      </c>
      <c r="D60" t="inlineStr">
        <is>
          <t>District of Columbia</t>
        </is>
      </c>
      <c r="E60" s="172" t="n">
        <v>5</v>
      </c>
      <c r="F60" s="172" t="n">
        <v>685815</v>
      </c>
      <c r="G60" s="172" t="n">
        <v>0.7291</v>
      </c>
      <c r="H60" s="172" t="n">
        <v>7.2906</v>
      </c>
      <c r="I60" s="172" t="n">
        <v>0</v>
      </c>
      <c r="J60" t="n">
        <v>0</v>
      </c>
      <c r="K60" s="172" t="n">
        <v>1</v>
      </c>
      <c r="L60" t="n">
        <v>1.4581</v>
      </c>
      <c r="M60" s="172" t="n">
        <v>1</v>
      </c>
      <c r="N60" t="n">
        <v>1.4581</v>
      </c>
      <c r="O60" s="172" t="n">
        <v>2</v>
      </c>
      <c r="P60" t="n">
        <v>2.9162</v>
      </c>
      <c r="Q60" s="172" t="n">
        <v>5</v>
      </c>
      <c r="R60" s="172" t="n">
        <v>0</v>
      </c>
      <c r="S60" s="172" t="inlineStr">
        <is>
          <t>Census PEP Vintage 2019</t>
        </is>
      </c>
      <c r="T60" s="172" t="inlineStr">
        <is>
          <t>https://www2.census.gov/programs-surveys/popest/datasets/2010-2019/national/totals/nst-est2019-alldata.csv</t>
        </is>
      </c>
    </row>
    <row r="61">
      <c r="A61" s="172" t="n">
        <v>2016</v>
      </c>
      <c r="B61" t="inlineStr">
        <is>
          <t>DE</t>
        </is>
      </c>
      <c r="C61" t="inlineStr">
        <is>
          <t>10</t>
        </is>
      </c>
      <c r="D61" t="inlineStr">
        <is>
          <t>Delaware</t>
        </is>
      </c>
      <c r="E61" s="172" t="n">
        <v>1</v>
      </c>
      <c r="F61" s="172" t="n">
        <v>948921</v>
      </c>
      <c r="G61" s="172" t="n">
        <v>0.1054</v>
      </c>
      <c r="H61" s="172" t="n">
        <v>1.0538</v>
      </c>
      <c r="I61" s="172" t="n">
        <v>0</v>
      </c>
      <c r="J61" t="n">
        <v>0</v>
      </c>
      <c r="K61" s="172" t="n">
        <v>0</v>
      </c>
      <c r="L61" t="n">
        <v>0</v>
      </c>
      <c r="M61" s="172" t="n">
        <v>0</v>
      </c>
      <c r="N61" t="n">
        <v>0</v>
      </c>
      <c r="O61" s="172" t="n">
        <v>0</v>
      </c>
      <c r="P61" t="n">
        <v>0</v>
      </c>
      <c r="Q61" s="172" t="n">
        <v>1</v>
      </c>
      <c r="R61" s="172" t="n">
        <v>0</v>
      </c>
      <c r="S61" s="172" t="inlineStr">
        <is>
          <t>Census PEP Vintage 2019</t>
        </is>
      </c>
      <c r="T61" s="172" t="inlineStr">
        <is>
          <t>https://www2.census.gov/programs-surveys/popest/datasets/2010-2019/national/totals/nst-est2019-alldata.csv</t>
        </is>
      </c>
    </row>
    <row r="62">
      <c r="A62" s="172" t="n">
        <v>2016</v>
      </c>
      <c r="B62" t="inlineStr">
        <is>
          <t>FL</t>
        </is>
      </c>
      <c r="C62" t="inlineStr">
        <is>
          <t>12</t>
        </is>
      </c>
      <c r="D62" t="inlineStr">
        <is>
          <t>Florida</t>
        </is>
      </c>
      <c r="E62" s="172" t="n">
        <v>60</v>
      </c>
      <c r="F62" s="172" t="n">
        <v>20613477</v>
      </c>
      <c r="G62" s="172" t="n">
        <v>0.2911</v>
      </c>
      <c r="H62" s="172" t="n">
        <v>2.9107</v>
      </c>
      <c r="I62" s="172" t="n">
        <v>3</v>
      </c>
      <c r="J62" t="n">
        <v>0.1455</v>
      </c>
      <c r="K62" s="172" t="n">
        <v>30</v>
      </c>
      <c r="L62" t="n">
        <v>1.4554</v>
      </c>
      <c r="M62" s="172" t="n">
        <v>21</v>
      </c>
      <c r="N62" t="n">
        <v>1.0188</v>
      </c>
      <c r="O62" s="172" t="n">
        <v>3</v>
      </c>
      <c r="P62" t="n">
        <v>0.1455</v>
      </c>
      <c r="Q62" s="172" t="n">
        <v>56</v>
      </c>
      <c r="R62" s="172" t="n">
        <v>4</v>
      </c>
      <c r="S62" s="172" t="inlineStr">
        <is>
          <t>Census PEP Vintage 2019</t>
        </is>
      </c>
      <c r="T62" s="172" t="inlineStr">
        <is>
          <t>https://www2.census.gov/programs-surveys/popest/datasets/2010-2019/national/totals/nst-est2019-alldata.csv</t>
        </is>
      </c>
    </row>
    <row r="63">
      <c r="A63" s="172" t="n">
        <v>2016</v>
      </c>
      <c r="B63" t="inlineStr">
        <is>
          <t>GA</t>
        </is>
      </c>
      <c r="C63" t="inlineStr">
        <is>
          <t>13</t>
        </is>
      </c>
      <c r="D63" t="inlineStr">
        <is>
          <t>Georgia</t>
        </is>
      </c>
      <c r="E63" s="172" t="n">
        <v>27</v>
      </c>
      <c r="F63" s="172" t="n">
        <v>10301890</v>
      </c>
      <c r="G63" s="172" t="n">
        <v>0.2621</v>
      </c>
      <c r="H63" s="172" t="n">
        <v>2.6209</v>
      </c>
      <c r="I63" s="172" t="n">
        <v>3</v>
      </c>
      <c r="J63" t="n">
        <v>0.2912</v>
      </c>
      <c r="K63" s="172" t="n">
        <v>18</v>
      </c>
      <c r="L63" t="n">
        <v>1.7473</v>
      </c>
      <c r="M63" s="172" t="n">
        <v>6</v>
      </c>
      <c r="N63" t="n">
        <v>0.5824</v>
      </c>
      <c r="O63" s="172" t="n">
        <v>3</v>
      </c>
      <c r="P63" t="n">
        <v>0.2912</v>
      </c>
      <c r="Q63" s="172" t="n">
        <v>27</v>
      </c>
      <c r="R63" s="172" t="n">
        <v>0</v>
      </c>
      <c r="S63" s="172" t="inlineStr">
        <is>
          <t>Census PEP Vintage 2019</t>
        </is>
      </c>
      <c r="T63" s="172" t="inlineStr">
        <is>
          <t>https://www2.census.gov/programs-surveys/popest/datasets/2010-2019/national/totals/nst-est2019-alldata.csv</t>
        </is>
      </c>
    </row>
    <row r="64">
      <c r="A64" s="172" t="n">
        <v>2016</v>
      </c>
      <c r="B64" t="inlineStr">
        <is>
          <t>HI</t>
        </is>
      </c>
      <c r="C64" t="inlineStr">
        <is>
          <t>15</t>
        </is>
      </c>
      <c r="D64" t="inlineStr">
        <is>
          <t>Hawaii</t>
        </is>
      </c>
      <c r="E64" s="172" t="n">
        <v>6</v>
      </c>
      <c r="F64" s="172" t="n">
        <v>1427559</v>
      </c>
      <c r="G64" s="172" t="n">
        <v>0.4203</v>
      </c>
      <c r="H64" s="172" t="n">
        <v>4.203</v>
      </c>
      <c r="I64" s="172" t="n">
        <v>0</v>
      </c>
      <c r="J64" t="n">
        <v>0</v>
      </c>
      <c r="K64" s="172" t="n">
        <v>2</v>
      </c>
      <c r="L64" t="n">
        <v>1.401</v>
      </c>
      <c r="M64" s="172" t="n">
        <v>1</v>
      </c>
      <c r="N64" t="n">
        <v>0.7005</v>
      </c>
      <c r="O64" s="172" t="n">
        <v>0</v>
      </c>
      <c r="P64" t="n">
        <v>0</v>
      </c>
      <c r="Q64" s="172" t="n">
        <v>6</v>
      </c>
      <c r="R64" s="172" t="n">
        <v>0</v>
      </c>
      <c r="S64" s="172" t="inlineStr">
        <is>
          <t>Census PEP Vintage 2019</t>
        </is>
      </c>
      <c r="T64" s="172" t="inlineStr">
        <is>
          <t>https://www2.census.gov/programs-surveys/popest/datasets/2010-2019/national/totals/nst-est2019-alldata.csv</t>
        </is>
      </c>
    </row>
    <row r="65">
      <c r="A65" s="172" t="n">
        <v>2016</v>
      </c>
      <c r="B65" t="inlineStr">
        <is>
          <t>IA</t>
        </is>
      </c>
      <c r="C65" t="inlineStr">
        <is>
          <t>19</t>
        </is>
      </c>
      <c r="D65" t="inlineStr">
        <is>
          <t>Iowa</t>
        </is>
      </c>
      <c r="E65" s="172" t="n">
        <v>5</v>
      </c>
      <c r="F65" s="172" t="n">
        <v>3131371</v>
      </c>
      <c r="G65" s="172" t="n">
        <v>0.1597</v>
      </c>
      <c r="H65" s="172" t="n">
        <v>1.5967</v>
      </c>
      <c r="I65" s="172" t="n">
        <v>0</v>
      </c>
      <c r="J65" t="n">
        <v>0</v>
      </c>
      <c r="K65" s="172" t="n">
        <v>2</v>
      </c>
      <c r="L65" t="n">
        <v>0.6387</v>
      </c>
      <c r="M65" s="172" t="n">
        <v>1</v>
      </c>
      <c r="N65" t="n">
        <v>0.3193</v>
      </c>
      <c r="O65" s="172" t="n">
        <v>1</v>
      </c>
      <c r="P65" t="n">
        <v>0.3193</v>
      </c>
      <c r="Q65" s="172" t="n">
        <v>5</v>
      </c>
      <c r="R65" s="172" t="n">
        <v>0</v>
      </c>
      <c r="S65" s="172" t="inlineStr">
        <is>
          <t>Census PEP Vintage 2019</t>
        </is>
      </c>
      <c r="T65" s="172" t="inlineStr">
        <is>
          <t>https://www2.census.gov/programs-surveys/popest/datasets/2010-2019/national/totals/nst-est2019-alldata.csv</t>
        </is>
      </c>
    </row>
    <row r="66">
      <c r="A66" s="172" t="n">
        <v>2016</v>
      </c>
      <c r="B66" t="inlineStr">
        <is>
          <t>ID</t>
        </is>
      </c>
      <c r="C66" t="inlineStr">
        <is>
          <t>16</t>
        </is>
      </c>
      <c r="D66" t="inlineStr">
        <is>
          <t>Idaho</t>
        </is>
      </c>
      <c r="E66" s="172" t="n">
        <v>6</v>
      </c>
      <c r="F66" s="172" t="n">
        <v>1682380</v>
      </c>
      <c r="G66" s="172" t="n">
        <v>0.3566</v>
      </c>
      <c r="H66" s="172" t="n">
        <v>3.5664</v>
      </c>
      <c r="I66" s="172" t="n">
        <v>0</v>
      </c>
      <c r="J66" t="n">
        <v>0</v>
      </c>
      <c r="K66" s="172" t="n">
        <v>5</v>
      </c>
      <c r="L66" t="n">
        <v>2.972</v>
      </c>
      <c r="M66" s="172" t="n">
        <v>2</v>
      </c>
      <c r="N66" t="n">
        <v>1.1888</v>
      </c>
      <c r="O66" s="172" t="n">
        <v>2</v>
      </c>
      <c r="P66" t="n">
        <v>1.1888</v>
      </c>
      <c r="Q66" s="172" t="n">
        <v>6</v>
      </c>
      <c r="R66" s="172" t="n">
        <v>0</v>
      </c>
      <c r="S66" s="172" t="inlineStr">
        <is>
          <t>Census PEP Vintage 2019</t>
        </is>
      </c>
      <c r="T66" s="172" t="inlineStr">
        <is>
          <t>https://www2.census.gov/programs-surveys/popest/datasets/2010-2019/national/totals/nst-est2019-alldata.csv</t>
        </is>
      </c>
    </row>
    <row r="67">
      <c r="A67" s="172" t="n">
        <v>2016</v>
      </c>
      <c r="B67" t="inlineStr">
        <is>
          <t>IL</t>
        </is>
      </c>
      <c r="C67" t="inlineStr">
        <is>
          <t>17</t>
        </is>
      </c>
      <c r="D67" t="inlineStr">
        <is>
          <t>Illinois</t>
        </is>
      </c>
      <c r="E67" s="172" t="n">
        <v>26</v>
      </c>
      <c r="F67" s="172" t="n">
        <v>12820527</v>
      </c>
      <c r="G67" s="172" t="n">
        <v>0.2028</v>
      </c>
      <c r="H67" s="172" t="n">
        <v>2.028</v>
      </c>
      <c r="I67" s="172" t="n">
        <v>1</v>
      </c>
      <c r="J67" t="n">
        <v>0.078</v>
      </c>
      <c r="K67" s="172" t="n">
        <v>19</v>
      </c>
      <c r="L67" t="n">
        <v>1.482</v>
      </c>
      <c r="M67" s="172" t="n">
        <v>3</v>
      </c>
      <c r="N67" t="n">
        <v>0.234</v>
      </c>
      <c r="O67" s="172" t="n">
        <v>2</v>
      </c>
      <c r="P67" t="n">
        <v>0.156</v>
      </c>
      <c r="Q67" s="172" t="n">
        <v>26</v>
      </c>
      <c r="R67" s="172" t="n">
        <v>0</v>
      </c>
      <c r="S67" s="172" t="inlineStr">
        <is>
          <t>Census PEP Vintage 2019</t>
        </is>
      </c>
      <c r="T67" s="172" t="inlineStr">
        <is>
          <t>https://www2.census.gov/programs-surveys/popest/datasets/2010-2019/national/totals/nst-est2019-alldata.csv</t>
        </is>
      </c>
    </row>
    <row r="68">
      <c r="A68" s="172" t="n">
        <v>2016</v>
      </c>
      <c r="B68" t="inlineStr">
        <is>
          <t>IN</t>
        </is>
      </c>
      <c r="C68" t="inlineStr">
        <is>
          <t>18</t>
        </is>
      </c>
      <c r="D68" t="inlineStr">
        <is>
          <t>Indiana</t>
        </is>
      </c>
      <c r="E68" s="172" t="n">
        <v>14</v>
      </c>
      <c r="F68" s="172" t="n">
        <v>6634304</v>
      </c>
      <c r="G68" s="172" t="n">
        <v>0.211</v>
      </c>
      <c r="H68" s="172" t="n">
        <v>2.1102</v>
      </c>
      <c r="I68" s="172" t="n">
        <v>1</v>
      </c>
      <c r="J68" t="n">
        <v>0.1507</v>
      </c>
      <c r="K68" s="172" t="n">
        <v>5</v>
      </c>
      <c r="L68" t="n">
        <v>0.7537</v>
      </c>
      <c r="M68" s="172" t="n">
        <v>2</v>
      </c>
      <c r="N68" t="n">
        <v>0.3015</v>
      </c>
      <c r="O68" s="172" t="n">
        <v>5</v>
      </c>
      <c r="P68" t="n">
        <v>0.7537</v>
      </c>
      <c r="Q68" s="172" t="n">
        <v>13</v>
      </c>
      <c r="R68" s="172" t="n">
        <v>1</v>
      </c>
      <c r="S68" s="172" t="inlineStr">
        <is>
          <t>Census PEP Vintage 2019</t>
        </is>
      </c>
      <c r="T68" s="172" t="inlineStr">
        <is>
          <t>https://www2.census.gov/programs-surveys/popest/datasets/2010-2019/national/totals/nst-est2019-alldata.csv</t>
        </is>
      </c>
    </row>
    <row r="69">
      <c r="A69" s="172" t="n">
        <v>2016</v>
      </c>
      <c r="B69" t="inlineStr">
        <is>
          <t>KS</t>
        </is>
      </c>
      <c r="C69" t="inlineStr">
        <is>
          <t>20</t>
        </is>
      </c>
      <c r="D69" t="inlineStr">
        <is>
          <t>Kansas</t>
        </is>
      </c>
      <c r="E69" s="172" t="n">
        <v>10</v>
      </c>
      <c r="F69" s="172" t="n">
        <v>2910844</v>
      </c>
      <c r="G69" s="172" t="n">
        <v>0.3435</v>
      </c>
      <c r="H69" s="172" t="n">
        <v>3.4354</v>
      </c>
      <c r="I69" s="172" t="n">
        <v>2</v>
      </c>
      <c r="J69" t="n">
        <v>0.6871</v>
      </c>
      <c r="K69" s="172" t="n">
        <v>5</v>
      </c>
      <c r="L69" t="n">
        <v>1.7177</v>
      </c>
      <c r="M69" s="172" t="n">
        <v>3</v>
      </c>
      <c r="N69" t="n">
        <v>1.0306</v>
      </c>
      <c r="O69" s="172" t="n">
        <v>2</v>
      </c>
      <c r="P69" t="n">
        <v>0.6871</v>
      </c>
      <c r="Q69" s="172" t="n">
        <v>10</v>
      </c>
      <c r="R69" s="172" t="n">
        <v>0</v>
      </c>
      <c r="S69" s="172" t="inlineStr">
        <is>
          <t>Census PEP Vintage 2019</t>
        </is>
      </c>
      <c r="T69" s="172" t="inlineStr">
        <is>
          <t>https://www2.census.gov/programs-surveys/popest/datasets/2010-2019/national/totals/nst-est2019-alldata.csv</t>
        </is>
      </c>
    </row>
    <row r="70">
      <c r="A70" s="172" t="n">
        <v>2016</v>
      </c>
      <c r="B70" t="inlineStr">
        <is>
          <t>KY</t>
        </is>
      </c>
      <c r="C70" t="inlineStr">
        <is>
          <t>21</t>
        </is>
      </c>
      <c r="D70" t="inlineStr">
        <is>
          <t>Kentucky</t>
        </is>
      </c>
      <c r="E70" s="172" t="n">
        <v>18</v>
      </c>
      <c r="F70" s="172" t="n">
        <v>4438182</v>
      </c>
      <c r="G70" s="172" t="n">
        <v>0.4056</v>
      </c>
      <c r="H70" s="172" t="n">
        <v>4.0557</v>
      </c>
      <c r="I70" s="172" t="n">
        <v>2</v>
      </c>
      <c r="J70" t="n">
        <v>0.4506</v>
      </c>
      <c r="K70" s="172" t="n">
        <v>11</v>
      </c>
      <c r="L70" t="n">
        <v>2.4785</v>
      </c>
      <c r="M70" s="172" t="n">
        <v>0</v>
      </c>
      <c r="N70" t="n">
        <v>0</v>
      </c>
      <c r="O70" s="172" t="n">
        <v>1</v>
      </c>
      <c r="P70" t="n">
        <v>0.2253</v>
      </c>
      <c r="Q70" s="172" t="n">
        <v>18</v>
      </c>
      <c r="R70" s="172" t="n">
        <v>0</v>
      </c>
      <c r="S70" s="172" t="inlineStr">
        <is>
          <t>Census PEP Vintage 2019</t>
        </is>
      </c>
      <c r="T70" s="172" t="inlineStr">
        <is>
          <t>https://www2.census.gov/programs-surveys/popest/datasets/2010-2019/national/totals/nst-est2019-alldata.csv</t>
        </is>
      </c>
    </row>
    <row r="71">
      <c r="A71" s="172" t="n">
        <v>2016</v>
      </c>
      <c r="B71" t="inlineStr">
        <is>
          <t>LA</t>
        </is>
      </c>
      <c r="C71" t="inlineStr">
        <is>
          <t>22</t>
        </is>
      </c>
      <c r="D71" t="inlineStr">
        <is>
          <t>Louisiana</t>
        </is>
      </c>
      <c r="E71" s="172" t="n">
        <v>19</v>
      </c>
      <c r="F71" s="172" t="n">
        <v>4678135</v>
      </c>
      <c r="G71" s="172" t="n">
        <v>0.4061</v>
      </c>
      <c r="H71" s="172" t="n">
        <v>4.0614</v>
      </c>
      <c r="I71" s="172" t="n">
        <v>1</v>
      </c>
      <c r="J71" t="n">
        <v>0.2138</v>
      </c>
      <c r="K71" s="172" t="n">
        <v>11</v>
      </c>
      <c r="L71" t="n">
        <v>2.3514</v>
      </c>
      <c r="M71" s="172" t="n">
        <v>5</v>
      </c>
      <c r="N71" t="n">
        <v>1.0688</v>
      </c>
      <c r="O71" s="172" t="n">
        <v>3</v>
      </c>
      <c r="P71" t="n">
        <v>0.6413</v>
      </c>
      <c r="Q71" s="172" t="n">
        <v>18</v>
      </c>
      <c r="R71" s="172" t="n">
        <v>1</v>
      </c>
      <c r="S71" s="172" t="inlineStr">
        <is>
          <t>Census PEP Vintage 2019</t>
        </is>
      </c>
      <c r="T71" s="172" t="inlineStr">
        <is>
          <t>https://www2.census.gov/programs-surveys/popest/datasets/2010-2019/national/totals/nst-est2019-alldata.csv</t>
        </is>
      </c>
    </row>
    <row r="72">
      <c r="A72" s="172" t="n">
        <v>2016</v>
      </c>
      <c r="B72" t="inlineStr">
        <is>
          <t>MA</t>
        </is>
      </c>
      <c r="C72" t="inlineStr">
        <is>
          <t>25</t>
        </is>
      </c>
      <c r="D72" t="inlineStr">
        <is>
          <t>Massachusetts</t>
        </is>
      </c>
      <c r="E72" s="172" t="n">
        <v>12</v>
      </c>
      <c r="F72" s="172" t="n">
        <v>6823608</v>
      </c>
      <c r="G72" s="172" t="n">
        <v>0.1759</v>
      </c>
      <c r="H72" s="172" t="n">
        <v>1.7586</v>
      </c>
      <c r="I72" s="172" t="n">
        <v>1</v>
      </c>
      <c r="J72" t="n">
        <v>0.1466</v>
      </c>
      <c r="K72" s="172" t="n">
        <v>5</v>
      </c>
      <c r="L72" t="n">
        <v>0.7328</v>
      </c>
      <c r="M72" s="172" t="n">
        <v>5</v>
      </c>
      <c r="N72" t="n">
        <v>0.7328</v>
      </c>
      <c r="O72" s="172" t="n">
        <v>0</v>
      </c>
      <c r="P72" t="n">
        <v>0</v>
      </c>
      <c r="Q72" s="172" t="n">
        <v>12</v>
      </c>
      <c r="R72" s="172" t="n">
        <v>0</v>
      </c>
      <c r="S72" s="172" t="inlineStr">
        <is>
          <t>Census PEP Vintage 2019</t>
        </is>
      </c>
      <c r="T72" s="172" t="inlineStr">
        <is>
          <t>https://www2.census.gov/programs-surveys/popest/datasets/2010-2019/national/totals/nst-est2019-alldata.csv</t>
        </is>
      </c>
    </row>
    <row r="73">
      <c r="A73" s="172" t="n">
        <v>2016</v>
      </c>
      <c r="B73" t="inlineStr">
        <is>
          <t>MD</t>
        </is>
      </c>
      <c r="C73" t="inlineStr">
        <is>
          <t>24</t>
        </is>
      </c>
      <c r="D73" t="inlineStr">
        <is>
          <t>Maryland</t>
        </is>
      </c>
      <c r="E73" s="172" t="n">
        <v>15</v>
      </c>
      <c r="F73" s="172" t="n">
        <v>6003323</v>
      </c>
      <c r="G73" s="172" t="n">
        <v>0.2499</v>
      </c>
      <c r="H73" s="172" t="n">
        <v>2.4986</v>
      </c>
      <c r="I73" s="172" t="n">
        <v>1</v>
      </c>
      <c r="J73" t="n">
        <v>0.1666</v>
      </c>
      <c r="K73" s="172" t="n">
        <v>10</v>
      </c>
      <c r="L73" t="n">
        <v>1.6657</v>
      </c>
      <c r="M73" s="172" t="n">
        <v>3</v>
      </c>
      <c r="N73" t="n">
        <v>0.4997</v>
      </c>
      <c r="O73" s="172" t="n">
        <v>2</v>
      </c>
      <c r="P73" t="n">
        <v>0.3331</v>
      </c>
      <c r="Q73" s="172" t="n">
        <v>15</v>
      </c>
      <c r="R73" s="172" t="n">
        <v>0</v>
      </c>
      <c r="S73" s="172" t="inlineStr">
        <is>
          <t>Census PEP Vintage 2019</t>
        </is>
      </c>
      <c r="T73" s="172" t="inlineStr">
        <is>
          <t>https://www2.census.gov/programs-surveys/popest/datasets/2010-2019/national/totals/nst-est2019-alldata.csv</t>
        </is>
      </c>
    </row>
    <row r="74">
      <c r="A74" s="172" t="n">
        <v>2016</v>
      </c>
      <c r="B74" t="inlineStr">
        <is>
          <t>ME</t>
        </is>
      </c>
      <c r="C74" t="inlineStr">
        <is>
          <t>23</t>
        </is>
      </c>
      <c r="D74" t="inlineStr">
        <is>
          <t>Maine</t>
        </is>
      </c>
      <c r="E74" s="172" t="n">
        <v>2</v>
      </c>
      <c r="F74" s="172" t="n">
        <v>1331317</v>
      </c>
      <c r="G74" s="172" t="n">
        <v>0.1502</v>
      </c>
      <c r="H74" s="172" t="n">
        <v>1.5023</v>
      </c>
      <c r="I74" s="172" t="n">
        <v>0</v>
      </c>
      <c r="J74" t="n">
        <v>0</v>
      </c>
      <c r="K74" s="172" t="n">
        <v>1</v>
      </c>
      <c r="L74" t="n">
        <v>0.7511</v>
      </c>
      <c r="M74" s="172" t="n">
        <v>0</v>
      </c>
      <c r="N74" t="n">
        <v>0</v>
      </c>
      <c r="O74" s="172" t="n">
        <v>0</v>
      </c>
      <c r="P74" t="n">
        <v>0</v>
      </c>
      <c r="Q74" s="172" t="n">
        <v>2</v>
      </c>
      <c r="R74" s="172" t="n">
        <v>0</v>
      </c>
      <c r="S74" s="172" t="inlineStr">
        <is>
          <t>Census PEP Vintage 2019</t>
        </is>
      </c>
      <c r="T74" s="172" t="inlineStr">
        <is>
          <t>https://www2.census.gov/programs-surveys/popest/datasets/2010-2019/national/totals/nst-est2019-alldata.csv</t>
        </is>
      </c>
    </row>
    <row r="75">
      <c r="A75" s="172" t="n">
        <v>2016</v>
      </c>
      <c r="B75" t="inlineStr">
        <is>
          <t>MI</t>
        </is>
      </c>
      <c r="C75" t="inlineStr">
        <is>
          <t>26</t>
        </is>
      </c>
      <c r="D75" t="inlineStr">
        <is>
          <t>Michigan</t>
        </is>
      </c>
      <c r="E75" s="172" t="n">
        <v>12</v>
      </c>
      <c r="F75" s="172" t="n">
        <v>9950571</v>
      </c>
      <c r="G75" s="172" t="n">
        <v>0.1206</v>
      </c>
      <c r="H75" s="172" t="n">
        <v>1.206</v>
      </c>
      <c r="I75" s="172" t="n">
        <v>0</v>
      </c>
      <c r="J75" t="n">
        <v>0</v>
      </c>
      <c r="K75" s="172" t="n">
        <v>8</v>
      </c>
      <c r="L75" t="n">
        <v>0.804</v>
      </c>
      <c r="M75" s="172" t="n">
        <v>4</v>
      </c>
      <c r="N75" t="n">
        <v>0.402</v>
      </c>
      <c r="O75" s="172" t="n">
        <v>3</v>
      </c>
      <c r="P75" t="n">
        <v>0.3015</v>
      </c>
      <c r="Q75" s="172" t="n">
        <v>12</v>
      </c>
      <c r="R75" s="172" t="n">
        <v>0</v>
      </c>
      <c r="S75" s="172" t="inlineStr">
        <is>
          <t>Census PEP Vintage 2019</t>
        </is>
      </c>
      <c r="T75" s="172" t="inlineStr">
        <is>
          <t>https://www2.census.gov/programs-surveys/popest/datasets/2010-2019/national/totals/nst-est2019-alldata.csv</t>
        </is>
      </c>
    </row>
    <row r="76">
      <c r="A76" s="172" t="n">
        <v>2016</v>
      </c>
      <c r="B76" t="inlineStr">
        <is>
          <t>MN</t>
        </is>
      </c>
      <c r="C76" t="inlineStr">
        <is>
          <t>27</t>
        </is>
      </c>
      <c r="D76" t="inlineStr">
        <is>
          <t>Minnesota</t>
        </is>
      </c>
      <c r="E76" s="172" t="n">
        <v>14</v>
      </c>
      <c r="F76" s="172" t="n">
        <v>5522744</v>
      </c>
      <c r="G76" s="172" t="n">
        <v>0.2535</v>
      </c>
      <c r="H76" s="172" t="n">
        <v>2.535</v>
      </c>
      <c r="I76" s="172" t="n">
        <v>1</v>
      </c>
      <c r="J76" t="n">
        <v>0.1811</v>
      </c>
      <c r="K76" s="172" t="n">
        <v>8</v>
      </c>
      <c r="L76" t="n">
        <v>1.4486</v>
      </c>
      <c r="M76" s="172" t="n">
        <v>6</v>
      </c>
      <c r="N76" t="n">
        <v>1.0864</v>
      </c>
      <c r="O76" s="172" t="n">
        <v>4</v>
      </c>
      <c r="P76" t="n">
        <v>0.7243000000000001</v>
      </c>
      <c r="Q76" s="172" t="n">
        <v>14</v>
      </c>
      <c r="R76" s="172" t="n">
        <v>0</v>
      </c>
      <c r="S76" s="172" t="inlineStr">
        <is>
          <t>Census PEP Vintage 2019</t>
        </is>
      </c>
      <c r="T76" s="172" t="inlineStr">
        <is>
          <t>https://www2.census.gov/programs-surveys/popest/datasets/2010-2019/national/totals/nst-est2019-alldata.csv</t>
        </is>
      </c>
    </row>
    <row r="77">
      <c r="A77" s="172" t="n">
        <v>2016</v>
      </c>
      <c r="B77" t="inlineStr">
        <is>
          <t>MO</t>
        </is>
      </c>
      <c r="C77" t="inlineStr">
        <is>
          <t>29</t>
        </is>
      </c>
      <c r="D77" t="inlineStr">
        <is>
          <t>Missouri</t>
        </is>
      </c>
      <c r="E77" s="172" t="n">
        <v>21</v>
      </c>
      <c r="F77" s="172" t="n">
        <v>6087135</v>
      </c>
      <c r="G77" s="172" t="n">
        <v>0.345</v>
      </c>
      <c r="H77" s="172" t="n">
        <v>3.4499</v>
      </c>
      <c r="I77" s="172" t="n">
        <v>0</v>
      </c>
      <c r="J77" t="n">
        <v>0</v>
      </c>
      <c r="K77" s="172" t="n">
        <v>14</v>
      </c>
      <c r="L77" t="n">
        <v>2.2999</v>
      </c>
      <c r="M77" s="172" t="n">
        <v>2</v>
      </c>
      <c r="N77" t="n">
        <v>0.3286</v>
      </c>
      <c r="O77" s="172" t="n">
        <v>0</v>
      </c>
      <c r="P77" t="n">
        <v>0</v>
      </c>
      <c r="Q77" s="172" t="n">
        <v>19</v>
      </c>
      <c r="R77" s="172" t="n">
        <v>2</v>
      </c>
      <c r="S77" s="172" t="inlineStr">
        <is>
          <t>Census PEP Vintage 2019</t>
        </is>
      </c>
      <c r="T77" s="172" t="inlineStr">
        <is>
          <t>https://www2.census.gov/programs-surveys/popest/datasets/2010-2019/national/totals/nst-est2019-alldata.csv</t>
        </is>
      </c>
    </row>
    <row r="78">
      <c r="A78" s="172" t="n">
        <v>2016</v>
      </c>
      <c r="B78" t="inlineStr">
        <is>
          <t>MS</t>
        </is>
      </c>
      <c r="C78" t="inlineStr">
        <is>
          <t>28</t>
        </is>
      </c>
      <c r="D78" t="inlineStr">
        <is>
          <t>Mississippi</t>
        </is>
      </c>
      <c r="E78" s="172" t="n">
        <v>8</v>
      </c>
      <c r="F78" s="172" t="n">
        <v>2987938</v>
      </c>
      <c r="G78" s="172" t="n">
        <v>0.2677</v>
      </c>
      <c r="H78" s="172" t="n">
        <v>2.6774</v>
      </c>
      <c r="I78" s="172" t="n">
        <v>2</v>
      </c>
      <c r="J78" t="n">
        <v>0.6694</v>
      </c>
      <c r="K78" s="172" t="n">
        <v>5</v>
      </c>
      <c r="L78" t="n">
        <v>1.6734</v>
      </c>
      <c r="M78" s="172" t="n">
        <v>1</v>
      </c>
      <c r="N78" t="n">
        <v>0.3347</v>
      </c>
      <c r="O78" s="172" t="n">
        <v>0</v>
      </c>
      <c r="P78" t="n">
        <v>0</v>
      </c>
      <c r="Q78" s="172" t="n">
        <v>8</v>
      </c>
      <c r="R78" s="172" t="n">
        <v>0</v>
      </c>
      <c r="S78" s="172" t="inlineStr">
        <is>
          <t>Census PEP Vintage 2019</t>
        </is>
      </c>
      <c r="T78" s="172" t="inlineStr">
        <is>
          <t>https://www2.census.gov/programs-surveys/popest/datasets/2010-2019/national/totals/nst-est2019-alldata.csv</t>
        </is>
      </c>
    </row>
    <row r="79">
      <c r="A79" s="172" t="n">
        <v>2016</v>
      </c>
      <c r="B79" t="inlineStr">
        <is>
          <t>MT</t>
        </is>
      </c>
      <c r="C79" t="inlineStr">
        <is>
          <t>30</t>
        </is>
      </c>
      <c r="D79" t="inlineStr">
        <is>
          <t>Montana</t>
        </is>
      </c>
      <c r="E79" s="172" t="n">
        <v>5</v>
      </c>
      <c r="F79" s="172" t="n">
        <v>1040859</v>
      </c>
      <c r="G79" s="172" t="n">
        <v>0.4804</v>
      </c>
      <c r="H79" s="172" t="n">
        <v>4.8037</v>
      </c>
      <c r="I79" s="172" t="n">
        <v>0</v>
      </c>
      <c r="J79" t="n">
        <v>0</v>
      </c>
      <c r="K79" s="172" t="n">
        <v>3</v>
      </c>
      <c r="L79" t="n">
        <v>2.8822</v>
      </c>
      <c r="M79" s="172" t="n">
        <v>1</v>
      </c>
      <c r="N79" t="n">
        <v>0.9607</v>
      </c>
      <c r="O79" s="172" t="n">
        <v>1</v>
      </c>
      <c r="P79" t="n">
        <v>0.9607</v>
      </c>
      <c r="Q79" s="172" t="n">
        <v>5</v>
      </c>
      <c r="R79" s="172" t="n">
        <v>0</v>
      </c>
      <c r="S79" s="172" t="inlineStr">
        <is>
          <t>Census PEP Vintage 2019</t>
        </is>
      </c>
      <c r="T79" s="172" t="inlineStr">
        <is>
          <t>https://www2.census.gov/programs-surveys/popest/datasets/2010-2019/national/totals/nst-est2019-alldata.csv</t>
        </is>
      </c>
    </row>
    <row r="80">
      <c r="A80" s="172" t="n">
        <v>2016</v>
      </c>
      <c r="B80" t="inlineStr">
        <is>
          <t>NC</t>
        </is>
      </c>
      <c r="C80" t="inlineStr">
        <is>
          <t>37</t>
        </is>
      </c>
      <c r="D80" t="inlineStr">
        <is>
          <t>North Carolina</t>
        </is>
      </c>
      <c r="E80" s="172" t="n">
        <v>32</v>
      </c>
      <c r="F80" s="172" t="n">
        <v>10154788</v>
      </c>
      <c r="G80" s="172" t="n">
        <v>0.3151</v>
      </c>
      <c r="H80" s="172" t="n">
        <v>3.1512</v>
      </c>
      <c r="I80" s="172" t="n">
        <v>2</v>
      </c>
      <c r="J80" t="n">
        <v>0.197</v>
      </c>
      <c r="K80" s="172" t="n">
        <v>24</v>
      </c>
      <c r="L80" t="n">
        <v>2.3634</v>
      </c>
      <c r="M80" s="172" t="n">
        <v>9</v>
      </c>
      <c r="N80" t="n">
        <v>0.8863</v>
      </c>
      <c r="O80" s="172" t="n">
        <v>7</v>
      </c>
      <c r="P80" t="n">
        <v>0.6893</v>
      </c>
      <c r="Q80" s="172" t="n">
        <v>31</v>
      </c>
      <c r="R80" s="172" t="n">
        <v>1</v>
      </c>
      <c r="S80" s="172" t="inlineStr">
        <is>
          <t>Census PEP Vintage 2019</t>
        </is>
      </c>
      <c r="T80" s="172" t="inlineStr">
        <is>
          <t>https://www2.census.gov/programs-surveys/popest/datasets/2010-2019/national/totals/nst-est2019-alldata.csv</t>
        </is>
      </c>
    </row>
    <row r="81">
      <c r="A81" s="172" t="n">
        <v>2016</v>
      </c>
      <c r="B81" t="inlineStr">
        <is>
          <t>ND</t>
        </is>
      </c>
      <c r="C81" t="inlineStr">
        <is>
          <t>38</t>
        </is>
      </c>
      <c r="D81" t="inlineStr">
        <is>
          <t>North Dakota</t>
        </is>
      </c>
      <c r="E81" s="172" t="n">
        <v>1</v>
      </c>
      <c r="F81" s="172" t="n">
        <v>754434</v>
      </c>
      <c r="G81" s="172" t="n">
        <v>0.1325</v>
      </c>
      <c r="H81" s="172" t="n">
        <v>1.3255</v>
      </c>
      <c r="I81" s="172" t="n">
        <v>1</v>
      </c>
      <c r="J81" t="n">
        <v>1.3255</v>
      </c>
      <c r="K81" s="172" t="n">
        <v>0</v>
      </c>
      <c r="L81" t="n">
        <v>0</v>
      </c>
      <c r="M81" s="172" t="n">
        <v>0</v>
      </c>
      <c r="N81" t="n">
        <v>0</v>
      </c>
      <c r="O81" s="172" t="n">
        <v>0</v>
      </c>
      <c r="P81" t="n">
        <v>0</v>
      </c>
      <c r="Q81" s="172" t="n">
        <v>1</v>
      </c>
      <c r="R81" s="172" t="n">
        <v>0</v>
      </c>
      <c r="S81" s="172" t="inlineStr">
        <is>
          <t>Census PEP Vintage 2019</t>
        </is>
      </c>
      <c r="T81" s="172" t="inlineStr">
        <is>
          <t>https://www2.census.gov/programs-surveys/popest/datasets/2010-2019/national/totals/nst-est2019-alldata.csv</t>
        </is>
      </c>
    </row>
    <row r="82">
      <c r="A82" s="172" t="n">
        <v>2016</v>
      </c>
      <c r="B82" t="inlineStr">
        <is>
          <t>NE</t>
        </is>
      </c>
      <c r="C82" t="inlineStr">
        <is>
          <t>31</t>
        </is>
      </c>
      <c r="D82" t="inlineStr">
        <is>
          <t>Nebraska</t>
        </is>
      </c>
      <c r="E82" s="172" t="n">
        <v>7</v>
      </c>
      <c r="F82" s="172" t="n">
        <v>1905616</v>
      </c>
      <c r="G82" s="172" t="n">
        <v>0.3673</v>
      </c>
      <c r="H82" s="172" t="n">
        <v>3.6734</v>
      </c>
      <c r="I82" s="172" t="n">
        <v>1</v>
      </c>
      <c r="J82" t="n">
        <v>0.5248</v>
      </c>
      <c r="K82" s="172" t="n">
        <v>2</v>
      </c>
      <c r="L82" t="n">
        <v>1.0495</v>
      </c>
      <c r="M82" s="172" t="n">
        <v>2</v>
      </c>
      <c r="N82" t="n">
        <v>1.0495</v>
      </c>
      <c r="O82" s="172" t="n">
        <v>1</v>
      </c>
      <c r="P82" t="n">
        <v>0.5248</v>
      </c>
      <c r="Q82" s="172" t="n">
        <v>7</v>
      </c>
      <c r="R82" s="172" t="n">
        <v>0</v>
      </c>
      <c r="S82" s="172" t="inlineStr">
        <is>
          <t>Census PEP Vintage 2019</t>
        </is>
      </c>
      <c r="T82" s="172" t="inlineStr">
        <is>
          <t>https://www2.census.gov/programs-surveys/popest/datasets/2010-2019/national/totals/nst-est2019-alldata.csv</t>
        </is>
      </c>
    </row>
    <row r="83">
      <c r="A83" s="172" t="n">
        <v>2016</v>
      </c>
      <c r="B83" t="inlineStr">
        <is>
          <t>NH</t>
        </is>
      </c>
      <c r="C83" t="inlineStr">
        <is>
          <t>33</t>
        </is>
      </c>
      <c r="D83" t="inlineStr">
        <is>
          <t>New Hampshire</t>
        </is>
      </c>
      <c r="E83" s="172" t="n">
        <v>2</v>
      </c>
      <c r="F83" s="172" t="n">
        <v>1342307</v>
      </c>
      <c r="G83" s="172" t="n">
        <v>0.149</v>
      </c>
      <c r="H83" s="172" t="n">
        <v>1.49</v>
      </c>
      <c r="I83" s="172" t="n">
        <v>0</v>
      </c>
      <c r="J83" t="n">
        <v>0</v>
      </c>
      <c r="K83" s="172" t="n">
        <v>1</v>
      </c>
      <c r="L83" t="n">
        <v>0.745</v>
      </c>
      <c r="M83" s="172" t="n">
        <v>2</v>
      </c>
      <c r="N83" t="n">
        <v>1.49</v>
      </c>
      <c r="O83" s="172" t="n">
        <v>0</v>
      </c>
      <c r="P83" t="n">
        <v>0</v>
      </c>
      <c r="Q83" s="172" t="n">
        <v>2</v>
      </c>
      <c r="R83" s="172" t="n">
        <v>0</v>
      </c>
      <c r="S83" s="172" t="inlineStr">
        <is>
          <t>Census PEP Vintage 2019</t>
        </is>
      </c>
      <c r="T83" s="172" t="inlineStr">
        <is>
          <t>https://www2.census.gov/programs-surveys/popest/datasets/2010-2019/national/totals/nst-est2019-alldata.csv</t>
        </is>
      </c>
    </row>
    <row r="84">
      <c r="A84" s="172" t="n">
        <v>2016</v>
      </c>
      <c r="B84" t="inlineStr">
        <is>
          <t>NJ</t>
        </is>
      </c>
      <c r="C84" t="inlineStr">
        <is>
          <t>34</t>
        </is>
      </c>
      <c r="D84" t="inlineStr">
        <is>
          <t>New Jersey</t>
        </is>
      </c>
      <c r="E84" s="172" t="n">
        <v>12</v>
      </c>
      <c r="F84" s="172" t="n">
        <v>8870827</v>
      </c>
      <c r="G84" s="172" t="n">
        <v>0.1353</v>
      </c>
      <c r="H84" s="172" t="n">
        <v>1.3527</v>
      </c>
      <c r="I84" s="172" t="n">
        <v>0</v>
      </c>
      <c r="J84" t="n">
        <v>0</v>
      </c>
      <c r="K84" s="172" t="n">
        <v>7</v>
      </c>
      <c r="L84" t="n">
        <v>0.7891</v>
      </c>
      <c r="M84" s="172" t="n">
        <v>1</v>
      </c>
      <c r="N84" t="n">
        <v>0.1127</v>
      </c>
      <c r="O84" s="172" t="n">
        <v>1</v>
      </c>
      <c r="P84" t="n">
        <v>0.1127</v>
      </c>
      <c r="Q84" s="172" t="n">
        <v>11</v>
      </c>
      <c r="R84" s="172" t="n">
        <v>1</v>
      </c>
      <c r="S84" s="172" t="inlineStr">
        <is>
          <t>Census PEP Vintage 2019</t>
        </is>
      </c>
      <c r="T84" s="172" t="inlineStr">
        <is>
          <t>https://www2.census.gov/programs-surveys/popest/datasets/2010-2019/national/totals/nst-est2019-alldata.csv</t>
        </is>
      </c>
    </row>
    <row r="85">
      <c r="A85" s="172" t="n">
        <v>2016</v>
      </c>
      <c r="B85" t="inlineStr">
        <is>
          <t>NM</t>
        </is>
      </c>
      <c r="C85" t="inlineStr">
        <is>
          <t>35</t>
        </is>
      </c>
      <c r="D85" t="inlineStr">
        <is>
          <t>New Mexico</t>
        </is>
      </c>
      <c r="E85" s="172" t="n">
        <v>21</v>
      </c>
      <c r="F85" s="172" t="n">
        <v>2091630</v>
      </c>
      <c r="G85" s="172" t="n">
        <v>1.004</v>
      </c>
      <c r="H85" s="172" t="n">
        <v>10.04</v>
      </c>
      <c r="I85" s="172" t="n">
        <v>0</v>
      </c>
      <c r="J85" t="n">
        <v>0</v>
      </c>
      <c r="K85" s="172" t="n">
        <v>18</v>
      </c>
      <c r="L85" t="n">
        <v>8.605700000000001</v>
      </c>
      <c r="M85" s="172" t="n">
        <v>6</v>
      </c>
      <c r="N85" t="n">
        <v>2.8686</v>
      </c>
      <c r="O85" s="172" t="n">
        <v>6</v>
      </c>
      <c r="P85" t="n">
        <v>2.8686</v>
      </c>
      <c r="Q85" s="172" t="n">
        <v>20</v>
      </c>
      <c r="R85" s="172" t="n">
        <v>1</v>
      </c>
      <c r="S85" s="172" t="inlineStr">
        <is>
          <t>Census PEP Vintage 2019</t>
        </is>
      </c>
      <c r="T85" s="172" t="inlineStr">
        <is>
          <t>https://www2.census.gov/programs-surveys/popest/datasets/2010-2019/national/totals/nst-est2019-alldata.csv</t>
        </is>
      </c>
    </row>
    <row r="86">
      <c r="A86" s="172" t="n">
        <v>2016</v>
      </c>
      <c r="B86" t="inlineStr">
        <is>
          <t>NV</t>
        </is>
      </c>
      <c r="C86" t="inlineStr">
        <is>
          <t>32</t>
        </is>
      </c>
      <c r="D86" t="inlineStr">
        <is>
          <t>Nevada</t>
        </is>
      </c>
      <c r="E86" s="172" t="n">
        <v>13</v>
      </c>
      <c r="F86" s="172" t="n">
        <v>2917563</v>
      </c>
      <c r="G86" s="172" t="n">
        <v>0.4456</v>
      </c>
      <c r="H86" s="172" t="n">
        <v>4.4558</v>
      </c>
      <c r="I86" s="172" t="n">
        <v>1</v>
      </c>
      <c r="J86" t="n">
        <v>0.3428</v>
      </c>
      <c r="K86" s="172" t="n">
        <v>7</v>
      </c>
      <c r="L86" t="n">
        <v>2.3993</v>
      </c>
      <c r="M86" s="172" t="n">
        <v>2</v>
      </c>
      <c r="N86" t="n">
        <v>0.6855</v>
      </c>
      <c r="O86" s="172" t="n">
        <v>2</v>
      </c>
      <c r="P86" t="n">
        <v>0.6855</v>
      </c>
      <c r="Q86" s="172" t="n">
        <v>13</v>
      </c>
      <c r="R86" s="172" t="n">
        <v>0</v>
      </c>
      <c r="S86" s="172" t="inlineStr">
        <is>
          <t>Census PEP Vintage 2019</t>
        </is>
      </c>
      <c r="T86" s="172" t="inlineStr">
        <is>
          <t>https://www2.census.gov/programs-surveys/popest/datasets/2010-2019/national/totals/nst-est2019-alldata.csv</t>
        </is>
      </c>
    </row>
    <row r="87">
      <c r="A87" s="172" t="n">
        <v>2016</v>
      </c>
      <c r="B87" t="inlineStr">
        <is>
          <t>NY</t>
        </is>
      </c>
      <c r="C87" t="inlineStr">
        <is>
          <t>36</t>
        </is>
      </c>
      <c r="D87" t="inlineStr">
        <is>
          <t>New York</t>
        </is>
      </c>
      <c r="E87" s="172" t="n">
        <v>17</v>
      </c>
      <c r="F87" s="172" t="n">
        <v>19633428</v>
      </c>
      <c r="G87" s="172" t="n">
        <v>0.0866</v>
      </c>
      <c r="H87" s="172" t="n">
        <v>0.8659</v>
      </c>
      <c r="I87" s="172" t="n">
        <v>0</v>
      </c>
      <c r="J87" t="n">
        <v>0</v>
      </c>
      <c r="K87" s="172" t="n">
        <v>10</v>
      </c>
      <c r="L87" t="n">
        <v>0.5093</v>
      </c>
      <c r="M87" s="172" t="n">
        <v>10</v>
      </c>
      <c r="N87" t="n">
        <v>0.5093</v>
      </c>
      <c r="O87" s="172" t="n">
        <v>0</v>
      </c>
      <c r="P87" t="n">
        <v>0</v>
      </c>
      <c r="Q87" s="172" t="n">
        <v>17</v>
      </c>
      <c r="R87" s="172" t="n">
        <v>0</v>
      </c>
      <c r="S87" s="172" t="inlineStr">
        <is>
          <t>Census PEP Vintage 2019</t>
        </is>
      </c>
      <c r="T87" s="172" t="inlineStr">
        <is>
          <t>https://www2.census.gov/programs-surveys/popest/datasets/2010-2019/national/totals/nst-est2019-alldata.csv</t>
        </is>
      </c>
    </row>
    <row r="88">
      <c r="A88" s="172" t="n">
        <v>2016</v>
      </c>
      <c r="B88" t="inlineStr">
        <is>
          <t>OH</t>
        </is>
      </c>
      <c r="C88" t="inlineStr">
        <is>
          <t>39</t>
        </is>
      </c>
      <c r="D88" t="inlineStr">
        <is>
          <t>Ohio</t>
        </is>
      </c>
      <c r="E88" s="172" t="n">
        <v>26</v>
      </c>
      <c r="F88" s="172" t="n">
        <v>11634370</v>
      </c>
      <c r="G88" s="172" t="n">
        <v>0.2235</v>
      </c>
      <c r="H88" s="172" t="n">
        <v>2.2348</v>
      </c>
      <c r="I88" s="172" t="n">
        <v>1</v>
      </c>
      <c r="J88" t="n">
        <v>0.08599999999999999</v>
      </c>
      <c r="K88" s="172" t="n">
        <v>10</v>
      </c>
      <c r="L88" t="n">
        <v>0.8595</v>
      </c>
      <c r="M88" s="172" t="n">
        <v>6</v>
      </c>
      <c r="N88" t="n">
        <v>0.5157</v>
      </c>
      <c r="O88" s="172" t="n">
        <v>0</v>
      </c>
      <c r="P88" t="n">
        <v>0</v>
      </c>
      <c r="Q88" s="172" t="n">
        <v>26</v>
      </c>
      <c r="R88" s="172" t="n">
        <v>0</v>
      </c>
      <c r="S88" s="172" t="inlineStr">
        <is>
          <t>Census PEP Vintage 2019</t>
        </is>
      </c>
      <c r="T88" s="172" t="inlineStr">
        <is>
          <t>https://www2.census.gov/programs-surveys/popest/datasets/2010-2019/national/totals/nst-est2019-alldata.csv</t>
        </is>
      </c>
    </row>
    <row r="89">
      <c r="A89" s="172" t="n">
        <v>2016</v>
      </c>
      <c r="B89" t="inlineStr">
        <is>
          <t>OK</t>
        </is>
      </c>
      <c r="C89" t="inlineStr">
        <is>
          <t>40</t>
        </is>
      </c>
      <c r="D89" t="inlineStr">
        <is>
          <t>Oklahoma</t>
        </is>
      </c>
      <c r="E89" s="172" t="n">
        <v>26</v>
      </c>
      <c r="F89" s="172" t="n">
        <v>3926331</v>
      </c>
      <c r="G89" s="172" t="n">
        <v>0.6622</v>
      </c>
      <c r="H89" s="172" t="n">
        <v>6.622</v>
      </c>
      <c r="I89" s="172" t="n">
        <v>3</v>
      </c>
      <c r="J89" t="n">
        <v>0.7641</v>
      </c>
      <c r="K89" s="172" t="n">
        <v>14</v>
      </c>
      <c r="L89" t="n">
        <v>3.5657</v>
      </c>
      <c r="M89" s="172" t="n">
        <v>8</v>
      </c>
      <c r="N89" t="n">
        <v>2.0375</v>
      </c>
      <c r="O89" s="172" t="n">
        <v>5</v>
      </c>
      <c r="P89" t="n">
        <v>1.2735</v>
      </c>
      <c r="Q89" s="172" t="n">
        <v>23</v>
      </c>
      <c r="R89" s="172" t="n">
        <v>3</v>
      </c>
      <c r="S89" s="172" t="inlineStr">
        <is>
          <t>Census PEP Vintage 2019</t>
        </is>
      </c>
      <c r="T89" s="172" t="inlineStr">
        <is>
          <t>https://www2.census.gov/programs-surveys/popest/datasets/2010-2019/national/totals/nst-est2019-alldata.csv</t>
        </is>
      </c>
    </row>
    <row r="90">
      <c r="A90" s="172" t="n">
        <v>2016</v>
      </c>
      <c r="B90" t="inlineStr">
        <is>
          <t>OR</t>
        </is>
      </c>
      <c r="C90" t="inlineStr">
        <is>
          <t>41</t>
        </is>
      </c>
      <c r="D90" t="inlineStr">
        <is>
          <t>Oregon</t>
        </is>
      </c>
      <c r="E90" s="172" t="n">
        <v>15</v>
      </c>
      <c r="F90" s="172" t="n">
        <v>4089976</v>
      </c>
      <c r="G90" s="172" t="n">
        <v>0.3668</v>
      </c>
      <c r="H90" s="172" t="n">
        <v>3.6675</v>
      </c>
      <c r="I90" s="172" t="n">
        <v>1</v>
      </c>
      <c r="J90" t="n">
        <v>0.2445</v>
      </c>
      <c r="K90" s="172" t="n">
        <v>7</v>
      </c>
      <c r="L90" t="n">
        <v>1.7115</v>
      </c>
      <c r="M90" s="172" t="n">
        <v>5</v>
      </c>
      <c r="N90" t="n">
        <v>1.2225</v>
      </c>
      <c r="O90" s="172" t="n">
        <v>1</v>
      </c>
      <c r="P90" t="n">
        <v>0.2445</v>
      </c>
      <c r="Q90" s="172" t="n">
        <v>14</v>
      </c>
      <c r="R90" s="172" t="n">
        <v>1</v>
      </c>
      <c r="S90" s="172" t="inlineStr">
        <is>
          <t>Census PEP Vintage 2019</t>
        </is>
      </c>
      <c r="T90" s="172" t="inlineStr">
        <is>
          <t>https://www2.census.gov/programs-surveys/popest/datasets/2010-2019/national/totals/nst-est2019-alldata.csv</t>
        </is>
      </c>
    </row>
    <row r="91">
      <c r="A91" s="172" t="n">
        <v>2016</v>
      </c>
      <c r="B91" t="inlineStr">
        <is>
          <t>PA</t>
        </is>
      </c>
      <c r="C91" t="inlineStr">
        <is>
          <t>42</t>
        </is>
      </c>
      <c r="D91" t="inlineStr">
        <is>
          <t>Pennsylvania</t>
        </is>
      </c>
      <c r="E91" s="172" t="n">
        <v>22</v>
      </c>
      <c r="F91" s="172" t="n">
        <v>12782275</v>
      </c>
      <c r="G91" s="172" t="n">
        <v>0.1721</v>
      </c>
      <c r="H91" s="172" t="n">
        <v>1.7211</v>
      </c>
      <c r="I91" s="172" t="n">
        <v>2</v>
      </c>
      <c r="J91" t="n">
        <v>0.1565</v>
      </c>
      <c r="K91" s="172" t="n">
        <v>11</v>
      </c>
      <c r="L91" t="n">
        <v>0.8606</v>
      </c>
      <c r="M91" s="172" t="n">
        <v>8</v>
      </c>
      <c r="N91" t="n">
        <v>0.6259</v>
      </c>
      <c r="O91" s="172" t="n">
        <v>0</v>
      </c>
      <c r="P91" t="n">
        <v>0</v>
      </c>
      <c r="Q91" s="172" t="n">
        <v>20</v>
      </c>
      <c r="R91" s="172" t="n">
        <v>2</v>
      </c>
      <c r="S91" s="172" t="inlineStr">
        <is>
          <t>Census PEP Vintage 2019</t>
        </is>
      </c>
      <c r="T91" s="172" t="inlineStr">
        <is>
          <t>https://www2.census.gov/programs-surveys/popest/datasets/2010-2019/national/totals/nst-est2019-alldata.csv</t>
        </is>
      </c>
    </row>
    <row r="92">
      <c r="A92" s="172" t="n">
        <v>2016</v>
      </c>
      <c r="B92" t="inlineStr">
        <is>
          <t>RI</t>
        </is>
      </c>
      <c r="C92" t="inlineStr">
        <is>
          <t>44</t>
        </is>
      </c>
      <c r="D92" t="inlineStr">
        <is>
          <t>Rhode Island</t>
        </is>
      </c>
      <c r="E92" s="172" t="n">
        <v>2</v>
      </c>
      <c r="F92" s="172" t="n">
        <v>1056770</v>
      </c>
      <c r="G92" s="172" t="n">
        <v>0.1893</v>
      </c>
      <c r="H92" s="172" t="n">
        <v>1.8926</v>
      </c>
      <c r="I92" s="172" t="n">
        <v>0</v>
      </c>
      <c r="J92" t="n">
        <v>0</v>
      </c>
      <c r="K92" s="172" t="n">
        <v>1</v>
      </c>
      <c r="L92" t="n">
        <v>0.9463</v>
      </c>
      <c r="M92" s="172" t="n">
        <v>0</v>
      </c>
      <c r="N92" t="n">
        <v>0</v>
      </c>
      <c r="O92" s="172" t="n">
        <v>0</v>
      </c>
      <c r="P92" t="n">
        <v>0</v>
      </c>
      <c r="Q92" s="172" t="n">
        <v>2</v>
      </c>
      <c r="R92" s="172" t="n">
        <v>0</v>
      </c>
      <c r="S92" s="172" t="inlineStr">
        <is>
          <t>Census PEP Vintage 2019</t>
        </is>
      </c>
      <c r="T92" s="172" t="inlineStr">
        <is>
          <t>https://www2.census.gov/programs-surveys/popest/datasets/2010-2019/national/totals/nst-est2019-alldata.csv</t>
        </is>
      </c>
    </row>
    <row r="93">
      <c r="A93" s="172" t="n">
        <v>2016</v>
      </c>
      <c r="B93" t="inlineStr">
        <is>
          <t>SC</t>
        </is>
      </c>
      <c r="C93" t="inlineStr">
        <is>
          <t>45</t>
        </is>
      </c>
      <c r="D93" t="inlineStr">
        <is>
          <t>South Carolina</t>
        </is>
      </c>
      <c r="E93" s="172" t="n">
        <v>17</v>
      </c>
      <c r="F93" s="172" t="n">
        <v>4957968</v>
      </c>
      <c r="G93" s="172" t="n">
        <v>0.3429</v>
      </c>
      <c r="H93" s="172" t="n">
        <v>3.4288</v>
      </c>
      <c r="I93" s="172" t="n">
        <v>1</v>
      </c>
      <c r="J93" t="n">
        <v>0.2017</v>
      </c>
      <c r="K93" s="172" t="n">
        <v>13</v>
      </c>
      <c r="L93" t="n">
        <v>2.622</v>
      </c>
      <c r="M93" s="172" t="n">
        <v>3</v>
      </c>
      <c r="N93" t="n">
        <v>0.6051</v>
      </c>
      <c r="O93" s="172" t="n">
        <v>4</v>
      </c>
      <c r="P93" t="n">
        <v>0.8068</v>
      </c>
      <c r="Q93" s="172" t="n">
        <v>17</v>
      </c>
      <c r="R93" s="172" t="n">
        <v>0</v>
      </c>
      <c r="S93" s="172" t="inlineStr">
        <is>
          <t>Census PEP Vintage 2019</t>
        </is>
      </c>
      <c r="T93" s="172" t="inlineStr">
        <is>
          <t>https://www2.census.gov/programs-surveys/popest/datasets/2010-2019/national/totals/nst-est2019-alldata.csv</t>
        </is>
      </c>
    </row>
    <row r="94">
      <c r="A94" s="172" t="n">
        <v>2016</v>
      </c>
      <c r="B94" t="inlineStr">
        <is>
          <t>SD</t>
        </is>
      </c>
      <c r="C94" t="inlineStr">
        <is>
          <t>46</t>
        </is>
      </c>
      <c r="D94" t="inlineStr">
        <is>
          <t>South Dakota</t>
        </is>
      </c>
      <c r="E94" s="172" t="n">
        <v>4</v>
      </c>
      <c r="F94" s="172" t="n">
        <v>862996</v>
      </c>
      <c r="G94" s="172" t="n">
        <v>0.4635</v>
      </c>
      <c r="H94" s="172" t="n">
        <v>4.635</v>
      </c>
      <c r="I94" s="172" t="n">
        <v>1</v>
      </c>
      <c r="J94" t="n">
        <v>1.1588</v>
      </c>
      <c r="K94" s="172" t="n">
        <v>2</v>
      </c>
      <c r="L94" t="n">
        <v>2.3175</v>
      </c>
      <c r="M94" s="172" t="n">
        <v>1</v>
      </c>
      <c r="N94" t="n">
        <v>1.1588</v>
      </c>
      <c r="O94" s="172" t="n">
        <v>1</v>
      </c>
      <c r="P94" t="n">
        <v>1.1588</v>
      </c>
      <c r="Q94" s="172" t="n">
        <v>4</v>
      </c>
      <c r="R94" s="172" t="n">
        <v>0</v>
      </c>
      <c r="S94" s="172" t="inlineStr">
        <is>
          <t>Census PEP Vintage 2019</t>
        </is>
      </c>
      <c r="T94" s="172" t="inlineStr">
        <is>
          <t>https://www2.census.gov/programs-surveys/popest/datasets/2010-2019/national/totals/nst-est2019-alldata.csv</t>
        </is>
      </c>
    </row>
    <row r="95">
      <c r="A95" s="172" t="n">
        <v>2016</v>
      </c>
      <c r="B95" t="inlineStr">
        <is>
          <t>TN</t>
        </is>
      </c>
      <c r="C95" t="inlineStr">
        <is>
          <t>47</t>
        </is>
      </c>
      <c r="D95" t="inlineStr">
        <is>
          <t>Tennessee</t>
        </is>
      </c>
      <c r="E95" s="172" t="n">
        <v>22</v>
      </c>
      <c r="F95" s="172" t="n">
        <v>6646010</v>
      </c>
      <c r="G95" s="172" t="n">
        <v>0.331</v>
      </c>
      <c r="H95" s="172" t="n">
        <v>3.3103</v>
      </c>
      <c r="I95" s="172" t="n">
        <v>1</v>
      </c>
      <c r="J95" t="n">
        <v>0.1505</v>
      </c>
      <c r="K95" s="172" t="n">
        <v>13</v>
      </c>
      <c r="L95" t="n">
        <v>1.9561</v>
      </c>
      <c r="M95" s="172" t="n">
        <v>4</v>
      </c>
      <c r="N95" t="n">
        <v>0.6019</v>
      </c>
      <c r="O95" s="172" t="n">
        <v>7</v>
      </c>
      <c r="P95" t="n">
        <v>1.0533</v>
      </c>
      <c r="Q95" s="172" t="n">
        <v>21</v>
      </c>
      <c r="R95" s="172" t="n">
        <v>1</v>
      </c>
      <c r="S95" s="172" t="inlineStr">
        <is>
          <t>Census PEP Vintage 2019</t>
        </is>
      </c>
      <c r="T95" s="172" t="inlineStr">
        <is>
          <t>https://www2.census.gov/programs-surveys/popest/datasets/2010-2019/national/totals/nst-est2019-alldata.csv</t>
        </is>
      </c>
    </row>
    <row r="96">
      <c r="A96" s="172" t="n">
        <v>2016</v>
      </c>
      <c r="B96" t="inlineStr">
        <is>
          <t>TX</t>
        </is>
      </c>
      <c r="C96" t="inlineStr">
        <is>
          <t>48</t>
        </is>
      </c>
      <c r="D96" t="inlineStr">
        <is>
          <t>Texas</t>
        </is>
      </c>
      <c r="E96" s="172" t="n">
        <v>81</v>
      </c>
      <c r="F96" s="172" t="n">
        <v>27914410</v>
      </c>
      <c r="G96" s="172" t="n">
        <v>0.2902</v>
      </c>
      <c r="H96" s="172" t="n">
        <v>2.9017</v>
      </c>
      <c r="I96" s="172" t="n">
        <v>8</v>
      </c>
      <c r="J96" t="n">
        <v>0.2866</v>
      </c>
      <c r="K96" s="172" t="n">
        <v>55</v>
      </c>
      <c r="L96" t="n">
        <v>1.9703</v>
      </c>
      <c r="M96" s="172" t="n">
        <v>18</v>
      </c>
      <c r="N96" t="n">
        <v>0.6448</v>
      </c>
      <c r="O96" s="172" t="n">
        <v>9</v>
      </c>
      <c r="P96" t="n">
        <v>0.3224</v>
      </c>
      <c r="Q96" s="172" t="n">
        <v>81</v>
      </c>
      <c r="R96" s="172" t="n">
        <v>0</v>
      </c>
      <c r="S96" s="172" t="inlineStr">
        <is>
          <t>Census PEP Vintage 2019</t>
        </is>
      </c>
      <c r="T96" s="172" t="inlineStr">
        <is>
          <t>https://www2.census.gov/programs-surveys/popest/datasets/2010-2019/national/totals/nst-est2019-alldata.csv</t>
        </is>
      </c>
    </row>
    <row r="97">
      <c r="A97" s="172" t="n">
        <v>2016</v>
      </c>
      <c r="B97" t="inlineStr">
        <is>
          <t>UT</t>
        </is>
      </c>
      <c r="C97" t="inlineStr">
        <is>
          <t>49</t>
        </is>
      </c>
      <c r="D97" t="inlineStr">
        <is>
          <t>Utah</t>
        </is>
      </c>
      <c r="E97" s="172" t="n">
        <v>8</v>
      </c>
      <c r="F97" s="172" t="n">
        <v>3041868</v>
      </c>
      <c r="G97" s="172" t="n">
        <v>0.263</v>
      </c>
      <c r="H97" s="172" t="n">
        <v>2.63</v>
      </c>
      <c r="I97" s="172" t="n">
        <v>0</v>
      </c>
      <c r="J97" t="n">
        <v>0</v>
      </c>
      <c r="K97" s="172" t="n">
        <v>4</v>
      </c>
      <c r="L97" t="n">
        <v>1.315</v>
      </c>
      <c r="M97" s="172" t="n">
        <v>3</v>
      </c>
      <c r="N97" t="n">
        <v>0.9862</v>
      </c>
      <c r="O97" s="172" t="n">
        <v>1</v>
      </c>
      <c r="P97" t="n">
        <v>0.3287</v>
      </c>
      <c r="Q97" s="172" t="n">
        <v>8</v>
      </c>
      <c r="R97" s="172" t="n">
        <v>0</v>
      </c>
      <c r="S97" s="172" t="inlineStr">
        <is>
          <t>Census PEP Vintage 2019</t>
        </is>
      </c>
      <c r="T97" s="172" t="inlineStr">
        <is>
          <t>https://www2.census.gov/programs-surveys/popest/datasets/2010-2019/national/totals/nst-est2019-alldata.csv</t>
        </is>
      </c>
    </row>
    <row r="98">
      <c r="A98" s="172" t="n">
        <v>2016</v>
      </c>
      <c r="B98" t="inlineStr">
        <is>
          <t>VA</t>
        </is>
      </c>
      <c r="C98" t="inlineStr">
        <is>
          <t>51</t>
        </is>
      </c>
      <c r="D98" t="inlineStr">
        <is>
          <t>Virginia</t>
        </is>
      </c>
      <c r="E98" s="172" t="n">
        <v>17</v>
      </c>
      <c r="F98" s="172" t="n">
        <v>8410106</v>
      </c>
      <c r="G98" s="172" t="n">
        <v>0.2021</v>
      </c>
      <c r="H98" s="172" t="n">
        <v>2.0214</v>
      </c>
      <c r="I98" s="172" t="n">
        <v>1</v>
      </c>
      <c r="J98" t="n">
        <v>0.1189</v>
      </c>
      <c r="K98" s="172" t="n">
        <v>9</v>
      </c>
      <c r="L98" t="n">
        <v>1.0701</v>
      </c>
      <c r="M98" s="172" t="n">
        <v>9</v>
      </c>
      <c r="N98" t="n">
        <v>1.0701</v>
      </c>
      <c r="O98" s="172" t="n">
        <v>5</v>
      </c>
      <c r="P98" t="n">
        <v>0.5945</v>
      </c>
      <c r="Q98" s="172" t="n">
        <v>17</v>
      </c>
      <c r="R98" s="172" t="n">
        <v>0</v>
      </c>
      <c r="S98" s="172" t="inlineStr">
        <is>
          <t>Census PEP Vintage 2019</t>
        </is>
      </c>
      <c r="T98" s="172" t="inlineStr">
        <is>
          <t>https://www2.census.gov/programs-surveys/popest/datasets/2010-2019/national/totals/nst-est2019-alldata.csv</t>
        </is>
      </c>
    </row>
    <row r="99">
      <c r="A99" s="172" t="n">
        <v>2016</v>
      </c>
      <c r="B99" t="inlineStr">
        <is>
          <t>VT</t>
        </is>
      </c>
      <c r="C99" t="inlineStr">
        <is>
          <t>50</t>
        </is>
      </c>
      <c r="D99" t="inlineStr">
        <is>
          <t>Vermont</t>
        </is>
      </c>
      <c r="E99" s="172" t="n">
        <v>2</v>
      </c>
      <c r="F99" s="172" t="n">
        <v>623657</v>
      </c>
      <c r="G99" s="172" t="n">
        <v>0.3207</v>
      </c>
      <c r="H99" s="172" t="n">
        <v>3.2069</v>
      </c>
      <c r="I99" s="172" t="n">
        <v>1</v>
      </c>
      <c r="J99" t="n">
        <v>1.6034</v>
      </c>
      <c r="K99" s="172" t="n">
        <v>0</v>
      </c>
      <c r="L99" t="n">
        <v>0</v>
      </c>
      <c r="M99" s="172" t="n">
        <v>1</v>
      </c>
      <c r="N99" t="n">
        <v>1.6034</v>
      </c>
      <c r="O99" s="172" t="n">
        <v>2</v>
      </c>
      <c r="P99" t="n">
        <v>3.2069</v>
      </c>
      <c r="Q99" s="172" t="n">
        <v>2</v>
      </c>
      <c r="R99" s="172" t="n">
        <v>0</v>
      </c>
      <c r="S99" s="172" t="inlineStr">
        <is>
          <t>Census PEP Vintage 2019</t>
        </is>
      </c>
      <c r="T99" s="172" t="inlineStr">
        <is>
          <t>https://www2.census.gov/programs-surveys/popest/datasets/2010-2019/national/totals/nst-est2019-alldata.csv</t>
        </is>
      </c>
    </row>
    <row r="100">
      <c r="A100" s="172" t="n">
        <v>2016</v>
      </c>
      <c r="B100" t="inlineStr">
        <is>
          <t>WA</t>
        </is>
      </c>
      <c r="C100" t="inlineStr">
        <is>
          <t>53</t>
        </is>
      </c>
      <c r="D100" t="inlineStr">
        <is>
          <t>Washington</t>
        </is>
      </c>
      <c r="E100" s="172" t="n">
        <v>26</v>
      </c>
      <c r="F100" s="172" t="n">
        <v>7294771</v>
      </c>
      <c r="G100" s="172" t="n">
        <v>0.3564</v>
      </c>
      <c r="H100" s="172" t="n">
        <v>3.5642</v>
      </c>
      <c r="I100" s="172" t="n">
        <v>0</v>
      </c>
      <c r="J100" t="n">
        <v>0</v>
      </c>
      <c r="K100" s="172" t="n">
        <v>12</v>
      </c>
      <c r="L100" t="n">
        <v>1.645</v>
      </c>
      <c r="M100" s="172" t="n">
        <v>11</v>
      </c>
      <c r="N100" t="n">
        <v>1.5079</v>
      </c>
      <c r="O100" s="172" t="n">
        <v>2</v>
      </c>
      <c r="P100" t="n">
        <v>0.2742</v>
      </c>
      <c r="Q100" s="172" t="n">
        <v>24</v>
      </c>
      <c r="R100" s="172" t="n">
        <v>2</v>
      </c>
      <c r="S100" s="172" t="inlineStr">
        <is>
          <t>Census PEP Vintage 2019</t>
        </is>
      </c>
      <c r="T100" s="172" t="inlineStr">
        <is>
          <t>https://www2.census.gov/programs-surveys/popest/datasets/2010-2019/national/totals/nst-est2019-alldata.csv</t>
        </is>
      </c>
    </row>
    <row r="101">
      <c r="A101" s="172" t="n">
        <v>2016</v>
      </c>
      <c r="B101" t="inlineStr">
        <is>
          <t>WI</t>
        </is>
      </c>
      <c r="C101" t="inlineStr">
        <is>
          <t>55</t>
        </is>
      </c>
      <c r="D101" t="inlineStr">
        <is>
          <t>Wisconsin</t>
        </is>
      </c>
      <c r="E101" s="172" t="n">
        <v>17</v>
      </c>
      <c r="F101" s="172" t="n">
        <v>5772628</v>
      </c>
      <c r="G101" s="172" t="n">
        <v>0.2945</v>
      </c>
      <c r="H101" s="172" t="n">
        <v>2.9449</v>
      </c>
      <c r="I101" s="172" t="n">
        <v>1</v>
      </c>
      <c r="J101" t="n">
        <v>0.1732</v>
      </c>
      <c r="K101" s="172" t="n">
        <v>8</v>
      </c>
      <c r="L101" t="n">
        <v>1.3859</v>
      </c>
      <c r="M101" s="172" t="n">
        <v>5</v>
      </c>
      <c r="N101" t="n">
        <v>0.8662</v>
      </c>
      <c r="O101" s="172" t="n">
        <v>5</v>
      </c>
      <c r="P101" t="n">
        <v>0.8662</v>
      </c>
      <c r="Q101" s="172" t="n">
        <v>17</v>
      </c>
      <c r="R101" s="172" t="n">
        <v>0</v>
      </c>
      <c r="S101" s="172" t="inlineStr">
        <is>
          <t>Census PEP Vintage 2019</t>
        </is>
      </c>
      <c r="T101" s="172" t="inlineStr">
        <is>
          <t>https://www2.census.gov/programs-surveys/popest/datasets/2010-2019/national/totals/nst-est2019-alldata.csv</t>
        </is>
      </c>
    </row>
    <row r="102">
      <c r="A102" s="172" t="n">
        <v>2016</v>
      </c>
      <c r="B102" t="inlineStr">
        <is>
          <t>WV</t>
        </is>
      </c>
      <c r="C102" t="inlineStr">
        <is>
          <t>54</t>
        </is>
      </c>
      <c r="D102" t="inlineStr">
        <is>
          <t>West Virginia</t>
        </is>
      </c>
      <c r="E102" s="172" t="n">
        <v>12</v>
      </c>
      <c r="F102" s="172" t="n">
        <v>1831023</v>
      </c>
      <c r="G102" s="172" t="n">
        <v>0.6554</v>
      </c>
      <c r="H102" s="172" t="n">
        <v>6.5537</v>
      </c>
      <c r="I102" s="172" t="n">
        <v>0</v>
      </c>
      <c r="J102" t="n">
        <v>0</v>
      </c>
      <c r="K102" s="172" t="n">
        <v>8</v>
      </c>
      <c r="L102" t="n">
        <v>4.3691</v>
      </c>
      <c r="M102" s="172" t="n">
        <v>4</v>
      </c>
      <c r="N102" t="n">
        <v>2.1846</v>
      </c>
      <c r="O102" s="172" t="n">
        <v>2</v>
      </c>
      <c r="P102" t="n">
        <v>1.0923</v>
      </c>
      <c r="Q102" s="172" t="n">
        <v>11</v>
      </c>
      <c r="R102" s="172" t="n">
        <v>1</v>
      </c>
      <c r="S102" s="172" t="inlineStr">
        <is>
          <t>Census PEP Vintage 2019</t>
        </is>
      </c>
      <c r="T102" s="172" t="inlineStr">
        <is>
          <t>https://www2.census.gov/programs-surveys/popest/datasets/2010-2019/national/totals/nst-est2019-alldata.csv</t>
        </is>
      </c>
    </row>
    <row r="103">
      <c r="A103" s="172" t="n">
        <v>2016</v>
      </c>
      <c r="B103" t="inlineStr">
        <is>
          <t>WY</t>
        </is>
      </c>
      <c r="C103" t="inlineStr">
        <is>
          <t>56</t>
        </is>
      </c>
      <c r="D103" t="inlineStr">
        <is>
          <t>Wyoming</t>
        </is>
      </c>
      <c r="E103" s="172" t="n">
        <v>2</v>
      </c>
      <c r="F103" s="172" t="n">
        <v>584215</v>
      </c>
      <c r="G103" s="172" t="n">
        <v>0.3423</v>
      </c>
      <c r="H103" s="172" t="n">
        <v>3.4234</v>
      </c>
      <c r="I103" s="172" t="n">
        <v>0</v>
      </c>
      <c r="J103" t="n">
        <v>0</v>
      </c>
      <c r="K103" s="172" t="n">
        <v>1</v>
      </c>
      <c r="L103" t="n">
        <v>1.7117</v>
      </c>
      <c r="M103" s="172" t="n">
        <v>1</v>
      </c>
      <c r="N103" t="n">
        <v>1.7117</v>
      </c>
      <c r="O103" s="172" t="n">
        <v>0</v>
      </c>
      <c r="P103" t="n">
        <v>0</v>
      </c>
      <c r="Q103" s="172" t="n">
        <v>2</v>
      </c>
      <c r="R103" s="172" t="n">
        <v>0</v>
      </c>
      <c r="S103" s="172" t="inlineStr">
        <is>
          <t>Census PEP Vintage 2019</t>
        </is>
      </c>
      <c r="T103" s="172" t="inlineStr">
        <is>
          <t>https://www2.census.gov/programs-surveys/popest/datasets/2010-2019/national/totals/nst-est2019-alldata.csv</t>
        </is>
      </c>
    </row>
    <row r="104">
      <c r="A104" s="172" t="n">
        <v>2017</v>
      </c>
      <c r="B104" t="inlineStr">
        <is>
          <t>AK</t>
        </is>
      </c>
      <c r="C104" t="inlineStr">
        <is>
          <t>02</t>
        </is>
      </c>
      <c r="D104" t="inlineStr">
        <is>
          <t>Alaska</t>
        </is>
      </c>
      <c r="E104" s="172" t="n">
        <v>8</v>
      </c>
      <c r="F104" s="172" t="n">
        <v>739700</v>
      </c>
      <c r="G104" s="172" t="n">
        <v>1.0815</v>
      </c>
      <c r="H104" s="172" t="n">
        <v>10.8152</v>
      </c>
      <c r="I104" s="172" t="n">
        <v>1</v>
      </c>
      <c r="J104" t="n">
        <v>1.3519</v>
      </c>
      <c r="K104" s="172" t="n">
        <v>7</v>
      </c>
      <c r="L104" t="n">
        <v>9.4633</v>
      </c>
      <c r="M104" s="172" t="n">
        <v>2</v>
      </c>
      <c r="N104" t="n">
        <v>2.7038</v>
      </c>
      <c r="O104" s="172" t="n">
        <v>2</v>
      </c>
      <c r="P104" t="n">
        <v>2.7038</v>
      </c>
      <c r="Q104" s="172" t="n">
        <v>8</v>
      </c>
      <c r="R104" s="172" t="n">
        <v>0</v>
      </c>
      <c r="S104" s="172" t="inlineStr">
        <is>
          <t>Census PEP Vintage 2019</t>
        </is>
      </c>
      <c r="T104" s="172" t="inlineStr">
        <is>
          <t>https://www2.census.gov/programs-surveys/popest/datasets/2010-2019/national/totals/nst-est2019-alldata.csv</t>
        </is>
      </c>
    </row>
    <row r="105">
      <c r="A105" s="172" t="n">
        <v>2017</v>
      </c>
      <c r="B105" t="inlineStr">
        <is>
          <t>AL</t>
        </is>
      </c>
      <c r="C105" t="inlineStr">
        <is>
          <t>01</t>
        </is>
      </c>
      <c r="D105" t="inlineStr">
        <is>
          <t>Alabama</t>
        </is>
      </c>
      <c r="E105" s="172" t="n">
        <v>25</v>
      </c>
      <c r="F105" s="172" t="n">
        <v>4874486</v>
      </c>
      <c r="G105" s="172" t="n">
        <v>0.5129</v>
      </c>
      <c r="H105" s="172" t="n">
        <v>5.1287</v>
      </c>
      <c r="I105" s="172" t="n">
        <v>2</v>
      </c>
      <c r="J105" t="n">
        <v>0.4103</v>
      </c>
      <c r="K105" s="172" t="n">
        <v>14</v>
      </c>
      <c r="L105" t="n">
        <v>2.8721</v>
      </c>
      <c r="M105" s="172" t="n">
        <v>5</v>
      </c>
      <c r="N105" t="n">
        <v>1.0257</v>
      </c>
      <c r="O105" s="172" t="n">
        <v>1</v>
      </c>
      <c r="P105" t="n">
        <v>0.2051</v>
      </c>
      <c r="Q105" s="172" t="n">
        <v>20</v>
      </c>
      <c r="R105" s="172" t="n">
        <v>5</v>
      </c>
      <c r="S105" s="172" t="inlineStr">
        <is>
          <t>Census PEP Vintage 2019</t>
        </is>
      </c>
      <c r="T105" s="172" t="inlineStr">
        <is>
          <t>https://www2.census.gov/programs-surveys/popest/datasets/2010-2019/national/totals/nst-est2019-alldata.csv</t>
        </is>
      </c>
    </row>
    <row r="106">
      <c r="A106" s="172" t="n">
        <v>2017</v>
      </c>
      <c r="B106" t="inlineStr">
        <is>
          <t>AR</t>
        </is>
      </c>
      <c r="C106" t="inlineStr">
        <is>
          <t>05</t>
        </is>
      </c>
      <c r="D106" t="inlineStr">
        <is>
          <t>Arkansas</t>
        </is>
      </c>
      <c r="E106" s="172" t="n">
        <v>12</v>
      </c>
      <c r="F106" s="172" t="n">
        <v>3001345</v>
      </c>
      <c r="G106" s="172" t="n">
        <v>0.3998</v>
      </c>
      <c r="H106" s="172" t="n">
        <v>3.9982</v>
      </c>
      <c r="I106" s="172" t="n">
        <v>0</v>
      </c>
      <c r="J106" t="n">
        <v>0</v>
      </c>
      <c r="K106" s="172" t="n">
        <v>6</v>
      </c>
      <c r="L106" t="n">
        <v>1.9991</v>
      </c>
      <c r="M106" s="172" t="n">
        <v>1</v>
      </c>
      <c r="N106" t="n">
        <v>0.3332</v>
      </c>
      <c r="O106" s="172" t="n">
        <v>2</v>
      </c>
      <c r="P106" t="n">
        <v>0.6664</v>
      </c>
      <c r="Q106" s="172" t="n">
        <v>10</v>
      </c>
      <c r="R106" s="172" t="n">
        <v>2</v>
      </c>
      <c r="S106" s="172" t="inlineStr">
        <is>
          <t>Census PEP Vintage 2019</t>
        </is>
      </c>
      <c r="T106" s="172" t="inlineStr">
        <is>
          <t>https://www2.census.gov/programs-surveys/popest/datasets/2010-2019/national/totals/nst-est2019-alldata.csv</t>
        </is>
      </c>
    </row>
    <row r="107">
      <c r="A107" s="172" t="n">
        <v>2017</v>
      </c>
      <c r="B107" t="inlineStr">
        <is>
          <t>AZ</t>
        </is>
      </c>
      <c r="C107" t="inlineStr">
        <is>
          <t>04</t>
        </is>
      </c>
      <c r="D107" t="inlineStr">
        <is>
          <t>Arizona</t>
        </is>
      </c>
      <c r="E107" s="172" t="n">
        <v>44</v>
      </c>
      <c r="F107" s="172" t="n">
        <v>7044008</v>
      </c>
      <c r="G107" s="172" t="n">
        <v>0.6246</v>
      </c>
      <c r="H107" s="172" t="n">
        <v>6.2464</v>
      </c>
      <c r="I107" s="172" t="n">
        <v>2</v>
      </c>
      <c r="J107" t="n">
        <v>0.2839</v>
      </c>
      <c r="K107" s="172" t="n">
        <v>27</v>
      </c>
      <c r="L107" t="n">
        <v>3.833</v>
      </c>
      <c r="M107" s="172" t="n">
        <v>6</v>
      </c>
      <c r="N107" t="n">
        <v>0.8518</v>
      </c>
      <c r="O107" s="172" t="n">
        <v>4</v>
      </c>
      <c r="P107" t="n">
        <v>0.5679</v>
      </c>
      <c r="Q107" s="172" t="n">
        <v>41</v>
      </c>
      <c r="R107" s="172" t="n">
        <v>3</v>
      </c>
      <c r="S107" s="172" t="inlineStr">
        <is>
          <t>Census PEP Vintage 2019</t>
        </is>
      </c>
      <c r="T107" s="172" t="inlineStr">
        <is>
          <t>https://www2.census.gov/programs-surveys/popest/datasets/2010-2019/national/totals/nst-est2019-alldata.csv</t>
        </is>
      </c>
    </row>
    <row r="108">
      <c r="A108" s="172" t="n">
        <v>2017</v>
      </c>
      <c r="B108" t="inlineStr">
        <is>
          <t>CA</t>
        </is>
      </c>
      <c r="C108" t="inlineStr">
        <is>
          <t>06</t>
        </is>
      </c>
      <c r="D108" t="inlineStr">
        <is>
          <t>California</t>
        </is>
      </c>
      <c r="E108" s="172" t="n">
        <v>160</v>
      </c>
      <c r="F108" s="172" t="n">
        <v>39358497</v>
      </c>
      <c r="G108" s="172" t="n">
        <v>0.4065</v>
      </c>
      <c r="H108" s="172" t="n">
        <v>4.0652</v>
      </c>
      <c r="I108" s="172" t="n">
        <v>11</v>
      </c>
      <c r="J108" t="n">
        <v>0.2795</v>
      </c>
      <c r="K108" s="172" t="n">
        <v>78</v>
      </c>
      <c r="L108" t="n">
        <v>1.9818</v>
      </c>
      <c r="M108" s="172" t="n">
        <v>36</v>
      </c>
      <c r="N108" t="n">
        <v>0.9147</v>
      </c>
      <c r="O108" s="172" t="n">
        <v>15</v>
      </c>
      <c r="P108" t="n">
        <v>0.3811</v>
      </c>
      <c r="Q108" s="172" t="n">
        <v>147</v>
      </c>
      <c r="R108" s="172" t="n">
        <v>13</v>
      </c>
      <c r="S108" s="172" t="inlineStr">
        <is>
          <t>Census PEP Vintage 2019</t>
        </is>
      </c>
      <c r="T108" s="172" t="inlineStr">
        <is>
          <t>https://www2.census.gov/programs-surveys/popest/datasets/2010-2019/national/totals/nst-est2019-alldata.csv</t>
        </is>
      </c>
    </row>
    <row r="109">
      <c r="A109" s="172" t="n">
        <v>2017</v>
      </c>
      <c r="B109" t="inlineStr">
        <is>
          <t>CO</t>
        </is>
      </c>
      <c r="C109" t="inlineStr">
        <is>
          <t>08</t>
        </is>
      </c>
      <c r="D109" t="inlineStr">
        <is>
          <t>Colorado</t>
        </is>
      </c>
      <c r="E109" s="172" t="n">
        <v>31</v>
      </c>
      <c r="F109" s="172" t="n">
        <v>5611885</v>
      </c>
      <c r="G109" s="172" t="n">
        <v>0.5524</v>
      </c>
      <c r="H109" s="172" t="n">
        <v>5.524</v>
      </c>
      <c r="I109" s="172" t="n">
        <v>3</v>
      </c>
      <c r="J109" t="n">
        <v>0.5346</v>
      </c>
      <c r="K109" s="172" t="n">
        <v>21</v>
      </c>
      <c r="L109" t="n">
        <v>3.7421</v>
      </c>
      <c r="M109" s="172" t="n">
        <v>6</v>
      </c>
      <c r="N109" t="n">
        <v>1.0692</v>
      </c>
      <c r="O109" s="172" t="n">
        <v>4</v>
      </c>
      <c r="P109" t="n">
        <v>0.7128</v>
      </c>
      <c r="Q109" s="172" t="n">
        <v>27</v>
      </c>
      <c r="R109" s="172" t="n">
        <v>4</v>
      </c>
      <c r="S109" s="172" t="inlineStr">
        <is>
          <t>Census PEP Vintage 2019</t>
        </is>
      </c>
      <c r="T109" s="172" t="inlineStr">
        <is>
          <t>https://www2.census.gov/programs-surveys/popest/datasets/2010-2019/national/totals/nst-est2019-alldata.csv</t>
        </is>
      </c>
    </row>
    <row r="110">
      <c r="A110" s="172" t="n">
        <v>2017</v>
      </c>
      <c r="B110" t="inlineStr">
        <is>
          <t>CT</t>
        </is>
      </c>
      <c r="C110" t="inlineStr">
        <is>
          <t>09</t>
        </is>
      </c>
      <c r="D110" t="inlineStr">
        <is>
          <t>Connecticut</t>
        </is>
      </c>
      <c r="E110" s="172" t="n">
        <v>5</v>
      </c>
      <c r="F110" s="172" t="n">
        <v>3573297</v>
      </c>
      <c r="G110" s="172" t="n">
        <v>0.1399</v>
      </c>
      <c r="H110" s="172" t="n">
        <v>1.3993</v>
      </c>
      <c r="I110" s="172" t="n">
        <v>0</v>
      </c>
      <c r="J110" t="n">
        <v>0</v>
      </c>
      <c r="K110" s="172" t="n">
        <v>2</v>
      </c>
      <c r="L110" t="n">
        <v>0.5597</v>
      </c>
      <c r="M110" s="172" t="n">
        <v>1</v>
      </c>
      <c r="N110" t="n">
        <v>0.2799</v>
      </c>
      <c r="O110" s="172" t="n">
        <v>0</v>
      </c>
      <c r="P110" t="n">
        <v>0</v>
      </c>
      <c r="Q110" s="172" t="n">
        <v>4</v>
      </c>
      <c r="R110" s="172" t="n">
        <v>1</v>
      </c>
      <c r="S110" s="172" t="inlineStr">
        <is>
          <t>Census PEP Vintage 2019</t>
        </is>
      </c>
      <c r="T110" s="172" t="inlineStr">
        <is>
          <t>https://www2.census.gov/programs-surveys/popest/datasets/2010-2019/national/totals/nst-est2019-alldata.csv</t>
        </is>
      </c>
    </row>
    <row r="111">
      <c r="A111" s="172" t="n">
        <v>2017</v>
      </c>
      <c r="B111" t="inlineStr">
        <is>
          <t>DC</t>
        </is>
      </c>
      <c r="C111" t="inlineStr">
        <is>
          <t>11</t>
        </is>
      </c>
      <c r="D111" t="inlineStr">
        <is>
          <t>District of Columbia</t>
        </is>
      </c>
      <c r="E111" s="172" t="n">
        <v>2</v>
      </c>
      <c r="F111" s="172" t="n">
        <v>694906</v>
      </c>
      <c r="G111" s="172" t="n">
        <v>0.2878</v>
      </c>
      <c r="H111" s="172" t="n">
        <v>2.8781</v>
      </c>
      <c r="I111" s="172" t="n">
        <v>0</v>
      </c>
      <c r="J111" t="n">
        <v>0</v>
      </c>
      <c r="K111" s="172" t="n">
        <v>2</v>
      </c>
      <c r="L111" t="n">
        <v>2.8781</v>
      </c>
      <c r="M111" s="172" t="n">
        <v>0</v>
      </c>
      <c r="N111" t="n">
        <v>0</v>
      </c>
      <c r="O111" s="172" t="n">
        <v>1</v>
      </c>
      <c r="P111" t="n">
        <v>1.439</v>
      </c>
      <c r="Q111" s="172" t="n">
        <v>2</v>
      </c>
      <c r="R111" s="172" t="n">
        <v>0</v>
      </c>
      <c r="S111" s="172" t="inlineStr">
        <is>
          <t>Census PEP Vintage 2019</t>
        </is>
      </c>
      <c r="T111" s="172" t="inlineStr">
        <is>
          <t>https://www2.census.gov/programs-surveys/popest/datasets/2010-2019/national/totals/nst-est2019-alldata.csv</t>
        </is>
      </c>
    </row>
    <row r="112">
      <c r="A112" s="172" t="n">
        <v>2017</v>
      </c>
      <c r="B112" t="inlineStr">
        <is>
          <t>DE</t>
        </is>
      </c>
      <c r="C112" t="inlineStr">
        <is>
          <t>10</t>
        </is>
      </c>
      <c r="D112" t="inlineStr">
        <is>
          <t>Delaware</t>
        </is>
      </c>
      <c r="E112" s="172" t="n">
        <v>6</v>
      </c>
      <c r="F112" s="172" t="n">
        <v>956823</v>
      </c>
      <c r="G112" s="172" t="n">
        <v>0.6271</v>
      </c>
      <c r="H112" s="172" t="n">
        <v>6.2708</v>
      </c>
      <c r="I112" s="172" t="n">
        <v>0</v>
      </c>
      <c r="J112" t="n">
        <v>0</v>
      </c>
      <c r="K112" s="172" t="n">
        <v>4</v>
      </c>
      <c r="L112" t="n">
        <v>4.1805</v>
      </c>
      <c r="M112" s="172" t="n">
        <v>1</v>
      </c>
      <c r="N112" t="n">
        <v>1.0451</v>
      </c>
      <c r="O112" s="172" t="n">
        <v>1</v>
      </c>
      <c r="P112" t="n">
        <v>1.0451</v>
      </c>
      <c r="Q112" s="172" t="n">
        <v>6</v>
      </c>
      <c r="R112" s="172" t="n">
        <v>0</v>
      </c>
      <c r="S112" s="172" t="inlineStr">
        <is>
          <t>Census PEP Vintage 2019</t>
        </is>
      </c>
      <c r="T112" s="172" t="inlineStr">
        <is>
          <t>https://www2.census.gov/programs-surveys/popest/datasets/2010-2019/national/totals/nst-est2019-alldata.csv</t>
        </is>
      </c>
    </row>
    <row r="113">
      <c r="A113" s="172" t="n">
        <v>2017</v>
      </c>
      <c r="B113" t="inlineStr">
        <is>
          <t>FL</t>
        </is>
      </c>
      <c r="C113" t="inlineStr">
        <is>
          <t>12</t>
        </is>
      </c>
      <c r="D113" t="inlineStr">
        <is>
          <t>Florida</t>
        </is>
      </c>
      <c r="E113" s="172" t="n">
        <v>57</v>
      </c>
      <c r="F113" s="172" t="n">
        <v>20963613</v>
      </c>
      <c r="G113" s="172" t="n">
        <v>0.2719</v>
      </c>
      <c r="H113" s="172" t="n">
        <v>2.719</v>
      </c>
      <c r="I113" s="172" t="n">
        <v>5</v>
      </c>
      <c r="J113" t="n">
        <v>0.2385</v>
      </c>
      <c r="K113" s="172" t="n">
        <v>35</v>
      </c>
      <c r="L113" t="n">
        <v>1.6696</v>
      </c>
      <c r="M113" s="172" t="n">
        <v>21</v>
      </c>
      <c r="N113" t="n">
        <v>1.0017</v>
      </c>
      <c r="O113" s="172" t="n">
        <v>1</v>
      </c>
      <c r="P113" t="n">
        <v>0.0477</v>
      </c>
      <c r="Q113" s="172" t="n">
        <v>55</v>
      </c>
      <c r="R113" s="172" t="n">
        <v>2</v>
      </c>
      <c r="S113" s="172" t="inlineStr">
        <is>
          <t>Census PEP Vintage 2019</t>
        </is>
      </c>
      <c r="T113" s="172" t="inlineStr">
        <is>
          <t>https://www2.census.gov/programs-surveys/popest/datasets/2010-2019/national/totals/nst-est2019-alldata.csv</t>
        </is>
      </c>
    </row>
    <row r="114">
      <c r="A114" s="172" t="n">
        <v>2017</v>
      </c>
      <c r="B114" t="inlineStr">
        <is>
          <t>GA</t>
        </is>
      </c>
      <c r="C114" t="inlineStr">
        <is>
          <t>13</t>
        </is>
      </c>
      <c r="D114" t="inlineStr">
        <is>
          <t>Georgia</t>
        </is>
      </c>
      <c r="E114" s="172" t="n">
        <v>29</v>
      </c>
      <c r="F114" s="172" t="n">
        <v>10410330</v>
      </c>
      <c r="G114" s="172" t="n">
        <v>0.2786</v>
      </c>
      <c r="H114" s="172" t="n">
        <v>2.7857</v>
      </c>
      <c r="I114" s="172" t="n">
        <v>4</v>
      </c>
      <c r="J114" t="n">
        <v>0.3842</v>
      </c>
      <c r="K114" s="172" t="n">
        <v>16</v>
      </c>
      <c r="L114" t="n">
        <v>1.5369</v>
      </c>
      <c r="M114" s="172" t="n">
        <v>8</v>
      </c>
      <c r="N114" t="n">
        <v>0.7685</v>
      </c>
      <c r="O114" s="172" t="n">
        <v>2</v>
      </c>
      <c r="P114" t="n">
        <v>0.1921</v>
      </c>
      <c r="Q114" s="172" t="n">
        <v>28</v>
      </c>
      <c r="R114" s="172" t="n">
        <v>1</v>
      </c>
      <c r="S114" s="172" t="inlineStr">
        <is>
          <t>Census PEP Vintage 2019</t>
        </is>
      </c>
      <c r="T114" s="172" t="inlineStr">
        <is>
          <t>https://www2.census.gov/programs-surveys/popest/datasets/2010-2019/national/totals/nst-est2019-alldata.csv</t>
        </is>
      </c>
    </row>
    <row r="115">
      <c r="A115" s="172" t="n">
        <v>2017</v>
      </c>
      <c r="B115" t="inlineStr">
        <is>
          <t>HI</t>
        </is>
      </c>
      <c r="C115" t="inlineStr">
        <is>
          <t>15</t>
        </is>
      </c>
      <c r="D115" t="inlineStr">
        <is>
          <t>Hawaii</t>
        </is>
      </c>
      <c r="E115" s="172" t="n">
        <v>3</v>
      </c>
      <c r="F115" s="172" t="n">
        <v>1424393</v>
      </c>
      <c r="G115" s="172" t="n">
        <v>0.2106</v>
      </c>
      <c r="H115" s="172" t="n">
        <v>2.1062</v>
      </c>
      <c r="I115" s="172" t="n">
        <v>0</v>
      </c>
      <c r="J115" t="n">
        <v>0</v>
      </c>
      <c r="K115" s="172" t="n">
        <v>0</v>
      </c>
      <c r="L115" t="n">
        <v>0</v>
      </c>
      <c r="M115" s="172" t="n">
        <v>0</v>
      </c>
      <c r="N115" t="n">
        <v>0</v>
      </c>
      <c r="O115" s="172" t="n">
        <v>0</v>
      </c>
      <c r="P115" t="n">
        <v>0</v>
      </c>
      <c r="Q115" s="172" t="n">
        <v>2</v>
      </c>
      <c r="R115" s="172" t="n">
        <v>1</v>
      </c>
      <c r="S115" s="172" t="inlineStr">
        <is>
          <t>Census PEP Vintage 2019</t>
        </is>
      </c>
      <c r="T115" s="172" t="inlineStr">
        <is>
          <t>https://www2.census.gov/programs-surveys/popest/datasets/2010-2019/national/totals/nst-est2019-alldata.csv</t>
        </is>
      </c>
    </row>
    <row r="116">
      <c r="A116" s="172" t="n">
        <v>2017</v>
      </c>
      <c r="B116" t="inlineStr">
        <is>
          <t>IA</t>
        </is>
      </c>
      <c r="C116" t="inlineStr">
        <is>
          <t>19</t>
        </is>
      </c>
      <c r="D116" t="inlineStr">
        <is>
          <t>Iowa</t>
        </is>
      </c>
      <c r="E116" s="172" t="n">
        <v>5</v>
      </c>
      <c r="F116" s="172" t="n">
        <v>3141550</v>
      </c>
      <c r="G116" s="172" t="n">
        <v>0.1592</v>
      </c>
      <c r="H116" s="172" t="n">
        <v>1.5916</v>
      </c>
      <c r="I116" s="172" t="n">
        <v>0</v>
      </c>
      <c r="J116" t="n">
        <v>0</v>
      </c>
      <c r="K116" s="172" t="n">
        <v>5</v>
      </c>
      <c r="L116" t="n">
        <v>1.5916</v>
      </c>
      <c r="M116" s="172" t="n">
        <v>1</v>
      </c>
      <c r="N116" t="n">
        <v>0.3183</v>
      </c>
      <c r="O116" s="172" t="n">
        <v>2</v>
      </c>
      <c r="P116" t="n">
        <v>0.6366000000000001</v>
      </c>
      <c r="Q116" s="172" t="n">
        <v>5</v>
      </c>
      <c r="R116" s="172" t="n">
        <v>0</v>
      </c>
      <c r="S116" s="172" t="inlineStr">
        <is>
          <t>Census PEP Vintage 2019</t>
        </is>
      </c>
      <c r="T116" s="172" t="inlineStr">
        <is>
          <t>https://www2.census.gov/programs-surveys/popest/datasets/2010-2019/national/totals/nst-est2019-alldata.csv</t>
        </is>
      </c>
    </row>
    <row r="117">
      <c r="A117" s="172" t="n">
        <v>2017</v>
      </c>
      <c r="B117" t="inlineStr">
        <is>
          <t>ID</t>
        </is>
      </c>
      <c r="C117" t="inlineStr">
        <is>
          <t>16</t>
        </is>
      </c>
      <c r="D117" t="inlineStr">
        <is>
          <t>Idaho</t>
        </is>
      </c>
      <c r="E117" s="172" t="n">
        <v>6</v>
      </c>
      <c r="F117" s="172" t="n">
        <v>1717715</v>
      </c>
      <c r="G117" s="172" t="n">
        <v>0.3493</v>
      </c>
      <c r="H117" s="172" t="n">
        <v>3.493</v>
      </c>
      <c r="I117" s="172" t="n">
        <v>1</v>
      </c>
      <c r="J117" t="n">
        <v>0.5822000000000001</v>
      </c>
      <c r="K117" s="172" t="n">
        <v>4</v>
      </c>
      <c r="L117" t="n">
        <v>2.3287</v>
      </c>
      <c r="M117" s="172" t="n">
        <v>0</v>
      </c>
      <c r="N117" t="n">
        <v>0</v>
      </c>
      <c r="O117" s="172" t="n">
        <v>1</v>
      </c>
      <c r="P117" t="n">
        <v>0.5822000000000001</v>
      </c>
      <c r="Q117" s="172" t="n">
        <v>5</v>
      </c>
      <c r="R117" s="172" t="n">
        <v>1</v>
      </c>
      <c r="S117" s="172" t="inlineStr">
        <is>
          <t>Census PEP Vintage 2019</t>
        </is>
      </c>
      <c r="T117" s="172" t="inlineStr">
        <is>
          <t>https://www2.census.gov/programs-surveys/popest/datasets/2010-2019/national/totals/nst-est2019-alldata.csv</t>
        </is>
      </c>
    </row>
    <row r="118">
      <c r="A118" s="172" t="n">
        <v>2017</v>
      </c>
      <c r="B118" t="inlineStr">
        <is>
          <t>IL</t>
        </is>
      </c>
      <c r="C118" t="inlineStr">
        <is>
          <t>17</t>
        </is>
      </c>
      <c r="D118" t="inlineStr">
        <is>
          <t>Illinois</t>
        </is>
      </c>
      <c r="E118" s="172" t="n">
        <v>19</v>
      </c>
      <c r="F118" s="172" t="n">
        <v>12778828</v>
      </c>
      <c r="G118" s="172" t="n">
        <v>0.1487</v>
      </c>
      <c r="H118" s="172" t="n">
        <v>1.4868</v>
      </c>
      <c r="I118" s="172" t="n">
        <v>2</v>
      </c>
      <c r="J118" t="n">
        <v>0.1565</v>
      </c>
      <c r="K118" s="172" t="n">
        <v>11</v>
      </c>
      <c r="L118" t="n">
        <v>0.8608</v>
      </c>
      <c r="M118" s="172" t="n">
        <v>5</v>
      </c>
      <c r="N118" t="n">
        <v>0.3913</v>
      </c>
      <c r="O118" s="172" t="n">
        <v>4</v>
      </c>
      <c r="P118" t="n">
        <v>0.313</v>
      </c>
      <c r="Q118" s="172" t="n">
        <v>19</v>
      </c>
      <c r="R118" s="172" t="n">
        <v>0</v>
      </c>
      <c r="S118" s="172" t="inlineStr">
        <is>
          <t>Census PEP Vintage 2019</t>
        </is>
      </c>
      <c r="T118" s="172" t="inlineStr">
        <is>
          <t>https://www2.census.gov/programs-surveys/popest/datasets/2010-2019/national/totals/nst-est2019-alldata.csv</t>
        </is>
      </c>
    </row>
    <row r="119">
      <c r="A119" s="172" t="n">
        <v>2017</v>
      </c>
      <c r="B119" t="inlineStr">
        <is>
          <t>IN</t>
        </is>
      </c>
      <c r="C119" t="inlineStr">
        <is>
          <t>18</t>
        </is>
      </c>
      <c r="D119" t="inlineStr">
        <is>
          <t>Indiana</t>
        </is>
      </c>
      <c r="E119" s="172" t="n">
        <v>19</v>
      </c>
      <c r="F119" s="172" t="n">
        <v>6658078</v>
      </c>
      <c r="G119" s="172" t="n">
        <v>0.2854</v>
      </c>
      <c r="H119" s="172" t="n">
        <v>2.8537</v>
      </c>
      <c r="I119" s="172" t="n">
        <v>1</v>
      </c>
      <c r="J119" t="n">
        <v>0.1502</v>
      </c>
      <c r="K119" s="172" t="n">
        <v>14</v>
      </c>
      <c r="L119" t="n">
        <v>2.1027</v>
      </c>
      <c r="M119" s="172" t="n">
        <v>5</v>
      </c>
      <c r="N119" t="n">
        <v>0.751</v>
      </c>
      <c r="O119" s="172" t="n">
        <v>1</v>
      </c>
      <c r="P119" t="n">
        <v>0.1502</v>
      </c>
      <c r="Q119" s="172" t="n">
        <v>19</v>
      </c>
      <c r="R119" s="172" t="n">
        <v>0</v>
      </c>
      <c r="S119" s="172" t="inlineStr">
        <is>
          <t>Census PEP Vintage 2019</t>
        </is>
      </c>
      <c r="T119" s="172" t="inlineStr">
        <is>
          <t>https://www2.census.gov/programs-surveys/popest/datasets/2010-2019/national/totals/nst-est2019-alldata.csv</t>
        </is>
      </c>
    </row>
    <row r="120">
      <c r="A120" s="172" t="n">
        <v>2017</v>
      </c>
      <c r="B120" t="inlineStr">
        <is>
          <t>KS</t>
        </is>
      </c>
      <c r="C120" t="inlineStr">
        <is>
          <t>20</t>
        </is>
      </c>
      <c r="D120" t="inlineStr">
        <is>
          <t>Kansas</t>
        </is>
      </c>
      <c r="E120" s="172" t="n">
        <v>12</v>
      </c>
      <c r="F120" s="172" t="n">
        <v>2908718</v>
      </c>
      <c r="G120" s="172" t="n">
        <v>0.4126</v>
      </c>
      <c r="H120" s="172" t="n">
        <v>4.1255</v>
      </c>
      <c r="I120" s="172" t="n">
        <v>1</v>
      </c>
      <c r="J120" t="n">
        <v>0.3438</v>
      </c>
      <c r="K120" s="172" t="n">
        <v>7</v>
      </c>
      <c r="L120" t="n">
        <v>2.4066</v>
      </c>
      <c r="M120" s="172" t="n">
        <v>5</v>
      </c>
      <c r="N120" t="n">
        <v>1.719</v>
      </c>
      <c r="O120" s="172" t="n">
        <v>2</v>
      </c>
      <c r="P120" t="n">
        <v>0.6876</v>
      </c>
      <c r="Q120" s="172" t="n">
        <v>12</v>
      </c>
      <c r="R120" s="172" t="n">
        <v>0</v>
      </c>
      <c r="S120" s="172" t="inlineStr">
        <is>
          <t>Census PEP Vintage 2019</t>
        </is>
      </c>
      <c r="T120" s="172" t="inlineStr">
        <is>
          <t>https://www2.census.gov/programs-surveys/popest/datasets/2010-2019/national/totals/nst-est2019-alldata.csv</t>
        </is>
      </c>
    </row>
    <row r="121">
      <c r="A121" s="172" t="n">
        <v>2017</v>
      </c>
      <c r="B121" t="inlineStr">
        <is>
          <t>KY</t>
        </is>
      </c>
      <c r="C121" t="inlineStr">
        <is>
          <t>21</t>
        </is>
      </c>
      <c r="D121" t="inlineStr">
        <is>
          <t>Kentucky</t>
        </is>
      </c>
      <c r="E121" s="172" t="n">
        <v>17</v>
      </c>
      <c r="F121" s="172" t="n">
        <v>4452268</v>
      </c>
      <c r="G121" s="172" t="n">
        <v>0.3818</v>
      </c>
      <c r="H121" s="172" t="n">
        <v>3.8183</v>
      </c>
      <c r="I121" s="172" t="n">
        <v>1</v>
      </c>
      <c r="J121" t="n">
        <v>0.2246</v>
      </c>
      <c r="K121" s="172" t="n">
        <v>9</v>
      </c>
      <c r="L121" t="n">
        <v>2.0214</v>
      </c>
      <c r="M121" s="172" t="n">
        <v>3</v>
      </c>
      <c r="N121" t="n">
        <v>0.6738</v>
      </c>
      <c r="O121" s="172" t="n">
        <v>3</v>
      </c>
      <c r="P121" t="n">
        <v>0.6738</v>
      </c>
      <c r="Q121" s="172" t="n">
        <v>17</v>
      </c>
      <c r="R121" s="172" t="n">
        <v>0</v>
      </c>
      <c r="S121" s="172" t="inlineStr">
        <is>
          <t>Census PEP Vintage 2019</t>
        </is>
      </c>
      <c r="T121" s="172" t="inlineStr">
        <is>
          <t>https://www2.census.gov/programs-surveys/popest/datasets/2010-2019/national/totals/nst-est2019-alldata.csv</t>
        </is>
      </c>
    </row>
    <row r="122">
      <c r="A122" s="172" t="n">
        <v>2017</v>
      </c>
      <c r="B122" t="inlineStr">
        <is>
          <t>LA</t>
        </is>
      </c>
      <c r="C122" t="inlineStr">
        <is>
          <t>22</t>
        </is>
      </c>
      <c r="D122" t="inlineStr">
        <is>
          <t>Louisiana</t>
        </is>
      </c>
      <c r="E122" s="172" t="n">
        <v>19</v>
      </c>
      <c r="F122" s="172" t="n">
        <v>4670560</v>
      </c>
      <c r="G122" s="172" t="n">
        <v>0.4068</v>
      </c>
      <c r="H122" s="172" t="n">
        <v>4.068</v>
      </c>
      <c r="I122" s="172" t="n">
        <v>3</v>
      </c>
      <c r="J122" t="n">
        <v>0.6423</v>
      </c>
      <c r="K122" s="172" t="n">
        <v>13</v>
      </c>
      <c r="L122" t="n">
        <v>2.7834</v>
      </c>
      <c r="M122" s="172" t="n">
        <v>4</v>
      </c>
      <c r="N122" t="n">
        <v>0.8564000000000001</v>
      </c>
      <c r="O122" s="172" t="n">
        <v>2</v>
      </c>
      <c r="P122" t="n">
        <v>0.4282</v>
      </c>
      <c r="Q122" s="172" t="n">
        <v>19</v>
      </c>
      <c r="R122" s="172" t="n">
        <v>0</v>
      </c>
      <c r="S122" s="172" t="inlineStr">
        <is>
          <t>Census PEP Vintage 2019</t>
        </is>
      </c>
      <c r="T122" s="172" t="inlineStr">
        <is>
          <t>https://www2.census.gov/programs-surveys/popest/datasets/2010-2019/national/totals/nst-est2019-alldata.csv</t>
        </is>
      </c>
    </row>
    <row r="123">
      <c r="A123" s="172" t="n">
        <v>2017</v>
      </c>
      <c r="B123" t="inlineStr">
        <is>
          <t>MA</t>
        </is>
      </c>
      <c r="C123" t="inlineStr">
        <is>
          <t>25</t>
        </is>
      </c>
      <c r="D123" t="inlineStr">
        <is>
          <t>Massachusetts</t>
        </is>
      </c>
      <c r="E123" s="172" t="n">
        <v>3</v>
      </c>
      <c r="F123" s="172" t="n">
        <v>6859789</v>
      </c>
      <c r="G123" s="172" t="n">
        <v>0.0437</v>
      </c>
      <c r="H123" s="172" t="n">
        <v>0.4373</v>
      </c>
      <c r="I123" s="172" t="n">
        <v>0</v>
      </c>
      <c r="J123" t="n">
        <v>0</v>
      </c>
      <c r="K123" s="172" t="n">
        <v>0</v>
      </c>
      <c r="L123" t="n">
        <v>0</v>
      </c>
      <c r="M123" s="172" t="n">
        <v>1</v>
      </c>
      <c r="N123" t="n">
        <v>0.1458</v>
      </c>
      <c r="O123" s="172" t="n">
        <v>0</v>
      </c>
      <c r="P123" t="n">
        <v>0</v>
      </c>
      <c r="Q123" s="172" t="n">
        <v>3</v>
      </c>
      <c r="R123" s="172" t="n">
        <v>0</v>
      </c>
      <c r="S123" s="172" t="inlineStr">
        <is>
          <t>Census PEP Vintage 2019</t>
        </is>
      </c>
      <c r="T123" s="172" t="inlineStr">
        <is>
          <t>https://www2.census.gov/programs-surveys/popest/datasets/2010-2019/national/totals/nst-est2019-alldata.csv</t>
        </is>
      </c>
    </row>
    <row r="124">
      <c r="A124" s="172" t="n">
        <v>2017</v>
      </c>
      <c r="B124" t="inlineStr">
        <is>
          <t>MD</t>
        </is>
      </c>
      <c r="C124" t="inlineStr">
        <is>
          <t>24</t>
        </is>
      </c>
      <c r="D124" t="inlineStr">
        <is>
          <t>Maryland</t>
        </is>
      </c>
      <c r="E124" s="172" t="n">
        <v>9</v>
      </c>
      <c r="F124" s="172" t="n">
        <v>6023868</v>
      </c>
      <c r="G124" s="172" t="n">
        <v>0.1494</v>
      </c>
      <c r="H124" s="172" t="n">
        <v>1.4941</v>
      </c>
      <c r="I124" s="172" t="n">
        <v>1</v>
      </c>
      <c r="J124" t="n">
        <v>0.166</v>
      </c>
      <c r="K124" s="172" t="n">
        <v>4</v>
      </c>
      <c r="L124" t="n">
        <v>0.664</v>
      </c>
      <c r="M124" s="172" t="n">
        <v>3</v>
      </c>
      <c r="N124" t="n">
        <v>0.498</v>
      </c>
      <c r="O124" s="172" t="n">
        <v>7</v>
      </c>
      <c r="P124" t="n">
        <v>1.162</v>
      </c>
      <c r="Q124" s="172" t="n">
        <v>9</v>
      </c>
      <c r="R124" s="172" t="n">
        <v>0</v>
      </c>
      <c r="S124" s="172" t="inlineStr">
        <is>
          <t>Census PEP Vintage 2019</t>
        </is>
      </c>
      <c r="T124" s="172" t="inlineStr">
        <is>
          <t>https://www2.census.gov/programs-surveys/popest/datasets/2010-2019/national/totals/nst-est2019-alldata.csv</t>
        </is>
      </c>
    </row>
    <row r="125">
      <c r="A125" s="172" t="n">
        <v>2017</v>
      </c>
      <c r="B125" t="inlineStr">
        <is>
          <t>ME</t>
        </is>
      </c>
      <c r="C125" t="inlineStr">
        <is>
          <t>23</t>
        </is>
      </c>
      <c r="D125" t="inlineStr">
        <is>
          <t>Maine</t>
        </is>
      </c>
      <c r="E125" s="172" t="n">
        <v>9</v>
      </c>
      <c r="F125" s="172" t="n">
        <v>1334612</v>
      </c>
      <c r="G125" s="172" t="n">
        <v>0.6744</v>
      </c>
      <c r="H125" s="172" t="n">
        <v>6.7435</v>
      </c>
      <c r="I125" s="172" t="n">
        <v>1</v>
      </c>
      <c r="J125" t="n">
        <v>0.7493</v>
      </c>
      <c r="K125" s="172" t="n">
        <v>5</v>
      </c>
      <c r="L125" t="n">
        <v>3.7464</v>
      </c>
      <c r="M125" s="172" t="n">
        <v>1</v>
      </c>
      <c r="N125" t="n">
        <v>0.7493</v>
      </c>
      <c r="O125" s="172" t="n">
        <v>0</v>
      </c>
      <c r="P125" t="n">
        <v>0</v>
      </c>
      <c r="Q125" s="172" t="n">
        <v>9</v>
      </c>
      <c r="R125" s="172" t="n">
        <v>0</v>
      </c>
      <c r="S125" s="172" t="inlineStr">
        <is>
          <t>Census PEP Vintage 2019</t>
        </is>
      </c>
      <c r="T125" s="172" t="inlineStr">
        <is>
          <t>https://www2.census.gov/programs-surveys/popest/datasets/2010-2019/national/totals/nst-est2019-alldata.csv</t>
        </is>
      </c>
    </row>
    <row r="126">
      <c r="A126" s="172" t="n">
        <v>2017</v>
      </c>
      <c r="B126" t="inlineStr">
        <is>
          <t>MI</t>
        </is>
      </c>
      <c r="C126" t="inlineStr">
        <is>
          <t>26</t>
        </is>
      </c>
      <c r="D126" t="inlineStr">
        <is>
          <t>Michigan</t>
        </is>
      </c>
      <c r="E126" s="172" t="n">
        <v>14</v>
      </c>
      <c r="F126" s="172" t="n">
        <v>9973114</v>
      </c>
      <c r="G126" s="172" t="n">
        <v>0.1404</v>
      </c>
      <c r="H126" s="172" t="n">
        <v>1.4038</v>
      </c>
      <c r="I126" s="172" t="n">
        <v>3</v>
      </c>
      <c r="J126" t="n">
        <v>0.3008</v>
      </c>
      <c r="K126" s="172" t="n">
        <v>7</v>
      </c>
      <c r="L126" t="n">
        <v>0.7019</v>
      </c>
      <c r="M126" s="172" t="n">
        <v>4</v>
      </c>
      <c r="N126" t="n">
        <v>0.4011</v>
      </c>
      <c r="O126" s="172" t="n">
        <v>1</v>
      </c>
      <c r="P126" t="n">
        <v>0.1003</v>
      </c>
      <c r="Q126" s="172" t="n">
        <v>13</v>
      </c>
      <c r="R126" s="172" t="n">
        <v>1</v>
      </c>
      <c r="S126" s="172" t="inlineStr">
        <is>
          <t>Census PEP Vintage 2019</t>
        </is>
      </c>
      <c r="T126" s="172" t="inlineStr">
        <is>
          <t>https://www2.census.gov/programs-surveys/popest/datasets/2010-2019/national/totals/nst-est2019-alldata.csv</t>
        </is>
      </c>
    </row>
    <row r="127">
      <c r="A127" s="172" t="n">
        <v>2017</v>
      </c>
      <c r="B127" t="inlineStr">
        <is>
          <t>MN</t>
        </is>
      </c>
      <c r="C127" t="inlineStr">
        <is>
          <t>27</t>
        </is>
      </c>
      <c r="D127" t="inlineStr">
        <is>
          <t>Minnesota</t>
        </is>
      </c>
      <c r="E127" s="172" t="n">
        <v>10</v>
      </c>
      <c r="F127" s="172" t="n">
        <v>5566230</v>
      </c>
      <c r="G127" s="172" t="n">
        <v>0.1797</v>
      </c>
      <c r="H127" s="172" t="n">
        <v>1.7965</v>
      </c>
      <c r="I127" s="172" t="n">
        <v>1</v>
      </c>
      <c r="J127" t="n">
        <v>0.1797</v>
      </c>
      <c r="K127" s="172" t="n">
        <v>8</v>
      </c>
      <c r="L127" t="n">
        <v>1.4372</v>
      </c>
      <c r="M127" s="172" t="n">
        <v>1</v>
      </c>
      <c r="N127" t="n">
        <v>0.1797</v>
      </c>
      <c r="O127" s="172" t="n">
        <v>1</v>
      </c>
      <c r="P127" t="n">
        <v>0.1797</v>
      </c>
      <c r="Q127" s="172" t="n">
        <v>9</v>
      </c>
      <c r="R127" s="172" t="n">
        <v>1</v>
      </c>
      <c r="S127" s="172" t="inlineStr">
        <is>
          <t>Census PEP Vintage 2019</t>
        </is>
      </c>
      <c r="T127" s="172" t="inlineStr">
        <is>
          <t>https://www2.census.gov/programs-surveys/popest/datasets/2010-2019/national/totals/nst-est2019-alldata.csv</t>
        </is>
      </c>
    </row>
    <row r="128">
      <c r="A128" s="172" t="n">
        <v>2017</v>
      </c>
      <c r="B128" t="inlineStr">
        <is>
          <t>MO</t>
        </is>
      </c>
      <c r="C128" t="inlineStr">
        <is>
          <t>29</t>
        </is>
      </c>
      <c r="D128" t="inlineStr">
        <is>
          <t>Missouri</t>
        </is>
      </c>
      <c r="E128" s="172" t="n">
        <v>31</v>
      </c>
      <c r="F128" s="172" t="n">
        <v>6106670</v>
      </c>
      <c r="G128" s="172" t="n">
        <v>0.5076000000000001</v>
      </c>
      <c r="H128" s="172" t="n">
        <v>5.0764</v>
      </c>
      <c r="I128" s="172" t="n">
        <v>3</v>
      </c>
      <c r="J128" t="n">
        <v>0.4913</v>
      </c>
      <c r="K128" s="172" t="n">
        <v>22</v>
      </c>
      <c r="L128" t="n">
        <v>3.6026</v>
      </c>
      <c r="M128" s="172" t="n">
        <v>8</v>
      </c>
      <c r="N128" t="n">
        <v>1.31</v>
      </c>
      <c r="O128" s="172" t="n">
        <v>0</v>
      </c>
      <c r="P128" t="n">
        <v>0</v>
      </c>
      <c r="Q128" s="172" t="n">
        <v>31</v>
      </c>
      <c r="R128" s="172" t="n">
        <v>0</v>
      </c>
      <c r="S128" s="172" t="inlineStr">
        <is>
          <t>Census PEP Vintage 2019</t>
        </is>
      </c>
      <c r="T128" s="172" t="inlineStr">
        <is>
          <t>https://www2.census.gov/programs-surveys/popest/datasets/2010-2019/national/totals/nst-est2019-alldata.csv</t>
        </is>
      </c>
    </row>
    <row r="129">
      <c r="A129" s="172" t="n">
        <v>2017</v>
      </c>
      <c r="B129" t="inlineStr">
        <is>
          <t>MS</t>
        </is>
      </c>
      <c r="C129" t="inlineStr">
        <is>
          <t>28</t>
        </is>
      </c>
      <c r="D129" t="inlineStr">
        <is>
          <t>Mississippi</t>
        </is>
      </c>
      <c r="E129" s="172" t="n">
        <v>17</v>
      </c>
      <c r="F129" s="172" t="n">
        <v>2988510</v>
      </c>
      <c r="G129" s="172" t="n">
        <v>0.5688</v>
      </c>
      <c r="H129" s="172" t="n">
        <v>5.6885</v>
      </c>
      <c r="I129" s="172" t="n">
        <v>2</v>
      </c>
      <c r="J129" t="n">
        <v>0.6692</v>
      </c>
      <c r="K129" s="172" t="n">
        <v>10</v>
      </c>
      <c r="L129" t="n">
        <v>3.3461</v>
      </c>
      <c r="M129" s="172" t="n">
        <v>2</v>
      </c>
      <c r="N129" t="n">
        <v>0.6692</v>
      </c>
      <c r="O129" s="172" t="n">
        <v>2</v>
      </c>
      <c r="P129" t="n">
        <v>0.6692</v>
      </c>
      <c r="Q129" s="172" t="n">
        <v>17</v>
      </c>
      <c r="R129" s="172" t="n">
        <v>0</v>
      </c>
      <c r="S129" s="172" t="inlineStr">
        <is>
          <t>Census PEP Vintage 2019</t>
        </is>
      </c>
      <c r="T129" s="172" t="inlineStr">
        <is>
          <t>https://www2.census.gov/programs-surveys/popest/datasets/2010-2019/national/totals/nst-est2019-alldata.csv</t>
        </is>
      </c>
    </row>
    <row r="130">
      <c r="A130" s="172" t="n">
        <v>2017</v>
      </c>
      <c r="B130" t="inlineStr">
        <is>
          <t>MT</t>
        </is>
      </c>
      <c r="C130" t="inlineStr">
        <is>
          <t>30</t>
        </is>
      </c>
      <c r="D130" t="inlineStr">
        <is>
          <t>Montana</t>
        </is>
      </c>
      <c r="E130" s="172" t="n">
        <v>6</v>
      </c>
      <c r="F130" s="172" t="n">
        <v>1052482</v>
      </c>
      <c r="G130" s="172" t="n">
        <v>0.5701000000000001</v>
      </c>
      <c r="H130" s="172" t="n">
        <v>5.7008</v>
      </c>
      <c r="I130" s="172" t="n">
        <v>0</v>
      </c>
      <c r="J130" t="n">
        <v>0</v>
      </c>
      <c r="K130" s="172" t="n">
        <v>3</v>
      </c>
      <c r="L130" t="n">
        <v>2.8504</v>
      </c>
      <c r="M130" s="172" t="n">
        <v>1</v>
      </c>
      <c r="N130" t="n">
        <v>0.9500999999999999</v>
      </c>
      <c r="O130" s="172" t="n">
        <v>1</v>
      </c>
      <c r="P130" t="n">
        <v>0.9500999999999999</v>
      </c>
      <c r="Q130" s="172" t="n">
        <v>6</v>
      </c>
      <c r="R130" s="172" t="n">
        <v>0</v>
      </c>
      <c r="S130" s="172" t="inlineStr">
        <is>
          <t>Census PEP Vintage 2019</t>
        </is>
      </c>
      <c r="T130" s="172" t="inlineStr">
        <is>
          <t>https://www2.census.gov/programs-surveys/popest/datasets/2010-2019/national/totals/nst-est2019-alldata.csv</t>
        </is>
      </c>
    </row>
    <row r="131">
      <c r="A131" s="172" t="n">
        <v>2017</v>
      </c>
      <c r="B131" t="inlineStr">
        <is>
          <t>NC</t>
        </is>
      </c>
      <c r="C131" t="inlineStr">
        <is>
          <t>37</t>
        </is>
      </c>
      <c r="D131" t="inlineStr">
        <is>
          <t>North Carolina</t>
        </is>
      </c>
      <c r="E131" s="172" t="n">
        <v>22</v>
      </c>
      <c r="F131" s="172" t="n">
        <v>10268233</v>
      </c>
      <c r="G131" s="172" t="n">
        <v>0.2143</v>
      </c>
      <c r="H131" s="172" t="n">
        <v>2.1425</v>
      </c>
      <c r="I131" s="172" t="n">
        <v>0</v>
      </c>
      <c r="J131" t="n">
        <v>0</v>
      </c>
      <c r="K131" s="172" t="n">
        <v>20</v>
      </c>
      <c r="L131" t="n">
        <v>1.9478</v>
      </c>
      <c r="M131" s="172" t="n">
        <v>4</v>
      </c>
      <c r="N131" t="n">
        <v>0.3896</v>
      </c>
      <c r="O131" s="172" t="n">
        <v>3</v>
      </c>
      <c r="P131" t="n">
        <v>0.2922</v>
      </c>
      <c r="Q131" s="172" t="n">
        <v>22</v>
      </c>
      <c r="R131" s="172" t="n">
        <v>0</v>
      </c>
      <c r="S131" s="172" t="inlineStr">
        <is>
          <t>Census PEP Vintage 2019</t>
        </is>
      </c>
      <c r="T131" s="172" t="inlineStr">
        <is>
          <t>https://www2.census.gov/programs-surveys/popest/datasets/2010-2019/national/totals/nst-est2019-alldata.csv</t>
        </is>
      </c>
    </row>
    <row r="132">
      <c r="A132" s="172" t="n">
        <v>2017</v>
      </c>
      <c r="B132" t="inlineStr">
        <is>
          <t>ND</t>
        </is>
      </c>
      <c r="C132" t="inlineStr">
        <is>
          <t>38</t>
        </is>
      </c>
      <c r="D132" t="inlineStr">
        <is>
          <t>North Dakota</t>
        </is>
      </c>
      <c r="E132" s="172" t="n">
        <v>3</v>
      </c>
      <c r="F132" s="172" t="n">
        <v>754942</v>
      </c>
      <c r="G132" s="172" t="n">
        <v>0.3974</v>
      </c>
      <c r="H132" s="172" t="n">
        <v>3.9738</v>
      </c>
      <c r="I132" s="172" t="n">
        <v>0</v>
      </c>
      <c r="J132" t="n">
        <v>0</v>
      </c>
      <c r="K132" s="172" t="n">
        <v>1</v>
      </c>
      <c r="L132" t="n">
        <v>1.3246</v>
      </c>
      <c r="M132" s="172" t="n">
        <v>0</v>
      </c>
      <c r="N132" t="n">
        <v>0</v>
      </c>
      <c r="O132" s="172" t="n">
        <v>0</v>
      </c>
      <c r="P132" t="n">
        <v>0</v>
      </c>
      <c r="Q132" s="172" t="n">
        <v>3</v>
      </c>
      <c r="R132" s="172" t="n">
        <v>0</v>
      </c>
      <c r="S132" s="172" t="inlineStr">
        <is>
          <t>Census PEP Vintage 2019</t>
        </is>
      </c>
      <c r="T132" s="172" t="inlineStr">
        <is>
          <t>https://www2.census.gov/programs-surveys/popest/datasets/2010-2019/national/totals/nst-est2019-alldata.csv</t>
        </is>
      </c>
    </row>
    <row r="133">
      <c r="A133" s="172" t="n">
        <v>2017</v>
      </c>
      <c r="B133" t="inlineStr">
        <is>
          <t>NE</t>
        </is>
      </c>
      <c r="C133" t="inlineStr">
        <is>
          <t>31</t>
        </is>
      </c>
      <c r="D133" t="inlineStr">
        <is>
          <t>Nebraska</t>
        </is>
      </c>
      <c r="E133" s="172" t="n">
        <v>0</v>
      </c>
      <c r="F133" s="172" t="n">
        <v>1915947</v>
      </c>
      <c r="G133" s="172" t="n">
        <v>0</v>
      </c>
      <c r="H133" s="172" t="n">
        <v>0</v>
      </c>
      <c r="I133" s="172" t="n">
        <v>0</v>
      </c>
      <c r="J133" t="n">
        <v>0</v>
      </c>
      <c r="K133" s="172" t="n">
        <v>0</v>
      </c>
      <c r="L133" t="n">
        <v>0</v>
      </c>
      <c r="M133" s="172" t="n">
        <v>0</v>
      </c>
      <c r="N133" t="n">
        <v>0</v>
      </c>
      <c r="O133" s="172" t="n">
        <v>0</v>
      </c>
      <c r="P133" t="n">
        <v>0</v>
      </c>
      <c r="Q133" s="172" t="n">
        <v>0</v>
      </c>
      <c r="R133" s="172" t="n">
        <v>0</v>
      </c>
      <c r="S133" s="172" t="inlineStr">
        <is>
          <t>Census PEP Vintage 2019</t>
        </is>
      </c>
      <c r="T133" s="172" t="inlineStr">
        <is>
          <t>https://www2.census.gov/programs-surveys/popest/datasets/2010-2019/national/totals/nst-est2019-alldata.csv</t>
        </is>
      </c>
    </row>
    <row r="134">
      <c r="A134" s="172" t="n">
        <v>2017</v>
      </c>
      <c r="B134" t="inlineStr">
        <is>
          <t>NH</t>
        </is>
      </c>
      <c r="C134" t="inlineStr">
        <is>
          <t>33</t>
        </is>
      </c>
      <c r="D134" t="inlineStr">
        <is>
          <t>New Hampshire</t>
        </is>
      </c>
      <c r="E134" s="172" t="n">
        <v>3</v>
      </c>
      <c r="F134" s="172" t="n">
        <v>1348787</v>
      </c>
      <c r="G134" s="172" t="n">
        <v>0.2224</v>
      </c>
      <c r="H134" s="172" t="n">
        <v>2.2242</v>
      </c>
      <c r="I134" s="172" t="n">
        <v>0</v>
      </c>
      <c r="J134" t="n">
        <v>0</v>
      </c>
      <c r="K134" s="172" t="n">
        <v>2</v>
      </c>
      <c r="L134" t="n">
        <v>1.4828</v>
      </c>
      <c r="M134" s="172" t="n">
        <v>0</v>
      </c>
      <c r="N134" t="n">
        <v>0</v>
      </c>
      <c r="O134" s="172" t="n">
        <v>0</v>
      </c>
      <c r="P134" t="n">
        <v>0</v>
      </c>
      <c r="Q134" s="172" t="n">
        <v>2</v>
      </c>
      <c r="R134" s="172" t="n">
        <v>1</v>
      </c>
      <c r="S134" s="172" t="inlineStr">
        <is>
          <t>Census PEP Vintage 2019</t>
        </is>
      </c>
      <c r="T134" s="172" t="inlineStr">
        <is>
          <t>https://www2.census.gov/programs-surveys/popest/datasets/2010-2019/national/totals/nst-est2019-alldata.csv</t>
        </is>
      </c>
    </row>
    <row r="135">
      <c r="A135" s="172" t="n">
        <v>2017</v>
      </c>
      <c r="B135" t="inlineStr">
        <is>
          <t>NJ</t>
        </is>
      </c>
      <c r="C135" t="inlineStr">
        <is>
          <t>34</t>
        </is>
      </c>
      <c r="D135" t="inlineStr">
        <is>
          <t>New Jersey</t>
        </is>
      </c>
      <c r="E135" s="172" t="n">
        <v>12</v>
      </c>
      <c r="F135" s="172" t="n">
        <v>8885525</v>
      </c>
      <c r="G135" s="172" t="n">
        <v>0.1351</v>
      </c>
      <c r="H135" s="172" t="n">
        <v>1.3505</v>
      </c>
      <c r="I135" s="172" t="n">
        <v>1</v>
      </c>
      <c r="J135" t="n">
        <v>0.1125</v>
      </c>
      <c r="K135" s="172" t="n">
        <v>7</v>
      </c>
      <c r="L135" t="n">
        <v>0.7877999999999999</v>
      </c>
      <c r="M135" s="172" t="n">
        <v>3</v>
      </c>
      <c r="N135" t="n">
        <v>0.3376</v>
      </c>
      <c r="O135" s="172" t="n">
        <v>0</v>
      </c>
      <c r="P135" t="n">
        <v>0</v>
      </c>
      <c r="Q135" s="172" t="n">
        <v>10</v>
      </c>
      <c r="R135" s="172" t="n">
        <v>2</v>
      </c>
      <c r="S135" s="172" t="inlineStr">
        <is>
          <t>Census PEP Vintage 2019</t>
        </is>
      </c>
      <c r="T135" s="172" t="inlineStr">
        <is>
          <t>https://www2.census.gov/programs-surveys/popest/datasets/2010-2019/national/totals/nst-est2019-alldata.csv</t>
        </is>
      </c>
    </row>
    <row r="136">
      <c r="A136" s="172" t="n">
        <v>2017</v>
      </c>
      <c r="B136" t="inlineStr">
        <is>
          <t>NM</t>
        </is>
      </c>
      <c r="C136" t="inlineStr">
        <is>
          <t>35</t>
        </is>
      </c>
      <c r="D136" t="inlineStr">
        <is>
          <t>New Mexico</t>
        </is>
      </c>
      <c r="E136" s="172" t="n">
        <v>21</v>
      </c>
      <c r="F136" s="172" t="n">
        <v>2091784</v>
      </c>
      <c r="G136" s="172" t="n">
        <v>1.0039</v>
      </c>
      <c r="H136" s="172" t="n">
        <v>10.0393</v>
      </c>
      <c r="I136" s="172" t="n">
        <v>4</v>
      </c>
      <c r="J136" t="n">
        <v>1.9122</v>
      </c>
      <c r="K136" s="172" t="n">
        <v>8</v>
      </c>
      <c r="L136" t="n">
        <v>3.8245</v>
      </c>
      <c r="M136" s="172" t="n">
        <v>4</v>
      </c>
      <c r="N136" t="n">
        <v>1.9122</v>
      </c>
      <c r="O136" s="172" t="n">
        <v>5</v>
      </c>
      <c r="P136" t="n">
        <v>2.3903</v>
      </c>
      <c r="Q136" s="172" t="n">
        <v>18</v>
      </c>
      <c r="R136" s="172" t="n">
        <v>3</v>
      </c>
      <c r="S136" s="172" t="inlineStr">
        <is>
          <t>Census PEP Vintage 2019</t>
        </is>
      </c>
      <c r="T136" s="172" t="inlineStr">
        <is>
          <t>https://www2.census.gov/programs-surveys/popest/datasets/2010-2019/national/totals/nst-est2019-alldata.csv</t>
        </is>
      </c>
    </row>
    <row r="137">
      <c r="A137" s="172" t="n">
        <v>2017</v>
      </c>
      <c r="B137" t="inlineStr">
        <is>
          <t>NV</t>
        </is>
      </c>
      <c r="C137" t="inlineStr">
        <is>
          <t>32</t>
        </is>
      </c>
      <c r="D137" t="inlineStr">
        <is>
          <t>Nevada</t>
        </is>
      </c>
      <c r="E137" s="172" t="n">
        <v>16</v>
      </c>
      <c r="F137" s="172" t="n">
        <v>2969905</v>
      </c>
      <c r="G137" s="172" t="n">
        <v>0.5387</v>
      </c>
      <c r="H137" s="172" t="n">
        <v>5.3874</v>
      </c>
      <c r="I137" s="172" t="n">
        <v>0</v>
      </c>
      <c r="J137" t="n">
        <v>0</v>
      </c>
      <c r="K137" s="172" t="n">
        <v>11</v>
      </c>
      <c r="L137" t="n">
        <v>3.7038</v>
      </c>
      <c r="M137" s="172" t="n">
        <v>7</v>
      </c>
      <c r="N137" t="n">
        <v>2.357</v>
      </c>
      <c r="O137" s="172" t="n">
        <v>5</v>
      </c>
      <c r="P137" t="n">
        <v>1.6836</v>
      </c>
      <c r="Q137" s="172" t="n">
        <v>16</v>
      </c>
      <c r="R137" s="172" t="n">
        <v>0</v>
      </c>
      <c r="S137" s="172" t="inlineStr">
        <is>
          <t>Census PEP Vintage 2019</t>
        </is>
      </c>
      <c r="T137" s="172" t="inlineStr">
        <is>
          <t>https://www2.census.gov/programs-surveys/popest/datasets/2010-2019/national/totals/nst-est2019-alldata.csv</t>
        </is>
      </c>
    </row>
    <row r="138">
      <c r="A138" s="172" t="n">
        <v>2017</v>
      </c>
      <c r="B138" t="inlineStr">
        <is>
          <t>NY</t>
        </is>
      </c>
      <c r="C138" t="inlineStr">
        <is>
          <t>36</t>
        </is>
      </c>
      <c r="D138" t="inlineStr">
        <is>
          <t>New York</t>
        </is>
      </c>
      <c r="E138" s="172" t="n">
        <v>16</v>
      </c>
      <c r="F138" s="172" t="n">
        <v>19589572</v>
      </c>
      <c r="G138" s="172" t="n">
        <v>0.08169999999999999</v>
      </c>
      <c r="H138" s="172" t="n">
        <v>0.8168</v>
      </c>
      <c r="I138" s="172" t="n">
        <v>0</v>
      </c>
      <c r="J138" t="n">
        <v>0</v>
      </c>
      <c r="K138" s="172" t="n">
        <v>8</v>
      </c>
      <c r="L138" t="n">
        <v>0.4084</v>
      </c>
      <c r="M138" s="172" t="n">
        <v>6</v>
      </c>
      <c r="N138" t="n">
        <v>0.3063</v>
      </c>
      <c r="O138" s="172" t="n">
        <v>2</v>
      </c>
      <c r="P138" t="n">
        <v>0.1021</v>
      </c>
      <c r="Q138" s="172" t="n">
        <v>15</v>
      </c>
      <c r="R138" s="172" t="n">
        <v>1</v>
      </c>
      <c r="S138" s="172" t="inlineStr">
        <is>
          <t>Census PEP Vintage 2019</t>
        </is>
      </c>
      <c r="T138" s="172" t="inlineStr">
        <is>
          <t>https://www2.census.gov/programs-surveys/popest/datasets/2010-2019/national/totals/nst-est2019-alldata.csv</t>
        </is>
      </c>
    </row>
    <row r="139">
      <c r="A139" s="172" t="n">
        <v>2017</v>
      </c>
      <c r="B139" t="inlineStr">
        <is>
          <t>OH</t>
        </is>
      </c>
      <c r="C139" t="inlineStr">
        <is>
          <t>39</t>
        </is>
      </c>
      <c r="D139" t="inlineStr">
        <is>
          <t>Ohio</t>
        </is>
      </c>
      <c r="E139" s="172" t="n">
        <v>34</v>
      </c>
      <c r="F139" s="172" t="n">
        <v>11659650</v>
      </c>
      <c r="G139" s="172" t="n">
        <v>0.2916</v>
      </c>
      <c r="H139" s="172" t="n">
        <v>2.916</v>
      </c>
      <c r="I139" s="172" t="n">
        <v>3</v>
      </c>
      <c r="J139" t="n">
        <v>0.2573</v>
      </c>
      <c r="K139" s="172" t="n">
        <v>19</v>
      </c>
      <c r="L139" t="n">
        <v>1.6296</v>
      </c>
      <c r="M139" s="172" t="n">
        <v>11</v>
      </c>
      <c r="N139" t="n">
        <v>0.9434</v>
      </c>
      <c r="O139" s="172" t="n">
        <v>5</v>
      </c>
      <c r="P139" t="n">
        <v>0.4288</v>
      </c>
      <c r="Q139" s="172" t="n">
        <v>34</v>
      </c>
      <c r="R139" s="172" t="n">
        <v>0</v>
      </c>
      <c r="S139" s="172" t="inlineStr">
        <is>
          <t>Census PEP Vintage 2019</t>
        </is>
      </c>
      <c r="T139" s="172" t="inlineStr">
        <is>
          <t>https://www2.census.gov/programs-surveys/popest/datasets/2010-2019/national/totals/nst-est2019-alldata.csv</t>
        </is>
      </c>
    </row>
    <row r="140">
      <c r="A140" s="172" t="n">
        <v>2017</v>
      </c>
      <c r="B140" t="inlineStr">
        <is>
          <t>OK</t>
        </is>
      </c>
      <c r="C140" t="inlineStr">
        <is>
          <t>40</t>
        </is>
      </c>
      <c r="D140" t="inlineStr">
        <is>
          <t>Oklahoma</t>
        </is>
      </c>
      <c r="E140" s="172" t="n">
        <v>26</v>
      </c>
      <c r="F140" s="172" t="n">
        <v>3931316</v>
      </c>
      <c r="G140" s="172" t="n">
        <v>0.6614</v>
      </c>
      <c r="H140" s="172" t="n">
        <v>6.6136</v>
      </c>
      <c r="I140" s="172" t="n">
        <v>1</v>
      </c>
      <c r="J140" t="n">
        <v>0.2544</v>
      </c>
      <c r="K140" s="172" t="n">
        <v>15</v>
      </c>
      <c r="L140" t="n">
        <v>3.8155</v>
      </c>
      <c r="M140" s="172" t="n">
        <v>7</v>
      </c>
      <c r="N140" t="n">
        <v>1.7806</v>
      </c>
      <c r="O140" s="172" t="n">
        <v>5</v>
      </c>
      <c r="P140" t="n">
        <v>1.2718</v>
      </c>
      <c r="Q140" s="172" t="n">
        <v>25</v>
      </c>
      <c r="R140" s="172" t="n">
        <v>1</v>
      </c>
      <c r="S140" s="172" t="inlineStr">
        <is>
          <t>Census PEP Vintage 2019</t>
        </is>
      </c>
      <c r="T140" s="172" t="inlineStr">
        <is>
          <t>https://www2.census.gov/programs-surveys/popest/datasets/2010-2019/national/totals/nst-est2019-alldata.csv</t>
        </is>
      </c>
    </row>
    <row r="141">
      <c r="A141" s="172" t="n">
        <v>2017</v>
      </c>
      <c r="B141" t="inlineStr">
        <is>
          <t>OR</t>
        </is>
      </c>
      <c r="C141" t="inlineStr">
        <is>
          <t>41</t>
        </is>
      </c>
      <c r="D141" t="inlineStr">
        <is>
          <t>Oregon</t>
        </is>
      </c>
      <c r="E141" s="172" t="n">
        <v>12</v>
      </c>
      <c r="F141" s="172" t="n">
        <v>4143625</v>
      </c>
      <c r="G141" s="172" t="n">
        <v>0.2896</v>
      </c>
      <c r="H141" s="172" t="n">
        <v>2.896</v>
      </c>
      <c r="I141" s="172" t="n">
        <v>0</v>
      </c>
      <c r="J141" t="n">
        <v>0</v>
      </c>
      <c r="K141" s="172" t="n">
        <v>8</v>
      </c>
      <c r="L141" t="n">
        <v>1.9307</v>
      </c>
      <c r="M141" s="172" t="n">
        <v>5</v>
      </c>
      <c r="N141" t="n">
        <v>1.2067</v>
      </c>
      <c r="O141" s="172" t="n">
        <v>0</v>
      </c>
      <c r="P141" t="n">
        <v>0</v>
      </c>
      <c r="Q141" s="172" t="n">
        <v>11</v>
      </c>
      <c r="R141" s="172" t="n">
        <v>1</v>
      </c>
      <c r="S141" s="172" t="inlineStr">
        <is>
          <t>Census PEP Vintage 2019</t>
        </is>
      </c>
      <c r="T141" s="172" t="inlineStr">
        <is>
          <t>https://www2.census.gov/programs-surveys/popest/datasets/2010-2019/national/totals/nst-est2019-alldata.csv</t>
        </is>
      </c>
    </row>
    <row r="142">
      <c r="A142" s="172" t="n">
        <v>2017</v>
      </c>
      <c r="B142" t="inlineStr">
        <is>
          <t>PA</t>
        </is>
      </c>
      <c r="C142" t="inlineStr">
        <is>
          <t>42</t>
        </is>
      </c>
      <c r="D142" t="inlineStr">
        <is>
          <t>Pennsylvania</t>
        </is>
      </c>
      <c r="E142" s="172" t="n">
        <v>23</v>
      </c>
      <c r="F142" s="172" t="n">
        <v>12787641</v>
      </c>
      <c r="G142" s="172" t="n">
        <v>0.1799</v>
      </c>
      <c r="H142" s="172" t="n">
        <v>1.7986</v>
      </c>
      <c r="I142" s="172" t="n">
        <v>2</v>
      </c>
      <c r="J142" t="n">
        <v>0.1564</v>
      </c>
      <c r="K142" s="172" t="n">
        <v>14</v>
      </c>
      <c r="L142" t="n">
        <v>1.0948</v>
      </c>
      <c r="M142" s="172" t="n">
        <v>7</v>
      </c>
      <c r="N142" t="n">
        <v>0.5474</v>
      </c>
      <c r="O142" s="172" t="n">
        <v>0</v>
      </c>
      <c r="P142" t="n">
        <v>0</v>
      </c>
      <c r="Q142" s="172" t="n">
        <v>20</v>
      </c>
      <c r="R142" s="172" t="n">
        <v>3</v>
      </c>
      <c r="S142" s="172" t="inlineStr">
        <is>
          <t>Census PEP Vintage 2019</t>
        </is>
      </c>
      <c r="T142" s="172" t="inlineStr">
        <is>
          <t>https://www2.census.gov/programs-surveys/popest/datasets/2010-2019/national/totals/nst-est2019-alldata.csv</t>
        </is>
      </c>
    </row>
    <row r="143">
      <c r="A143" s="172" t="n">
        <v>2017</v>
      </c>
      <c r="B143" t="inlineStr">
        <is>
          <t>RI</t>
        </is>
      </c>
      <c r="C143" t="inlineStr">
        <is>
          <t>44</t>
        </is>
      </c>
      <c r="D143" t="inlineStr">
        <is>
          <t>Rhode Island</t>
        </is>
      </c>
      <c r="E143" s="172" t="n">
        <v>1</v>
      </c>
      <c r="F143" s="172" t="n">
        <v>1055673</v>
      </c>
      <c r="G143" s="172" t="n">
        <v>0.09470000000000001</v>
      </c>
      <c r="H143" s="172" t="n">
        <v>0.9473</v>
      </c>
      <c r="I143" s="172" t="n">
        <v>0</v>
      </c>
      <c r="J143" t="n">
        <v>0</v>
      </c>
      <c r="K143" s="172" t="n">
        <v>0</v>
      </c>
      <c r="L143" t="n">
        <v>0</v>
      </c>
      <c r="M143" s="172" t="n">
        <v>0</v>
      </c>
      <c r="N143" t="n">
        <v>0</v>
      </c>
      <c r="O143" s="172" t="n">
        <v>1</v>
      </c>
      <c r="P143" t="n">
        <v>0.9473</v>
      </c>
      <c r="Q143" s="172" t="n">
        <v>1</v>
      </c>
      <c r="R143" s="172" t="n">
        <v>0</v>
      </c>
      <c r="S143" s="172" t="inlineStr">
        <is>
          <t>Census PEP Vintage 2019</t>
        </is>
      </c>
      <c r="T143" s="172" t="inlineStr">
        <is>
          <t>https://www2.census.gov/programs-surveys/popest/datasets/2010-2019/national/totals/nst-est2019-alldata.csv</t>
        </is>
      </c>
    </row>
    <row r="144">
      <c r="A144" s="172" t="n">
        <v>2017</v>
      </c>
      <c r="B144" t="inlineStr">
        <is>
          <t>SC</t>
        </is>
      </c>
      <c r="C144" t="inlineStr">
        <is>
          <t>45</t>
        </is>
      </c>
      <c r="D144" t="inlineStr">
        <is>
          <t>South Carolina</t>
        </is>
      </c>
      <c r="E144" s="172" t="n">
        <v>12</v>
      </c>
      <c r="F144" s="172" t="n">
        <v>5021268</v>
      </c>
      <c r="G144" s="172" t="n">
        <v>0.239</v>
      </c>
      <c r="H144" s="172" t="n">
        <v>2.3898</v>
      </c>
      <c r="I144" s="172" t="n">
        <v>1</v>
      </c>
      <c r="J144" t="n">
        <v>0.1992</v>
      </c>
      <c r="K144" s="172" t="n">
        <v>8</v>
      </c>
      <c r="L144" t="n">
        <v>1.5932</v>
      </c>
      <c r="M144" s="172" t="n">
        <v>4</v>
      </c>
      <c r="N144" t="n">
        <v>0.7966</v>
      </c>
      <c r="O144" s="172" t="n">
        <v>2</v>
      </c>
      <c r="P144" t="n">
        <v>0.3983</v>
      </c>
      <c r="Q144" s="172" t="n">
        <v>12</v>
      </c>
      <c r="R144" s="172" t="n">
        <v>0</v>
      </c>
      <c r="S144" s="172" t="inlineStr">
        <is>
          <t>Census PEP Vintage 2019</t>
        </is>
      </c>
      <c r="T144" s="172" t="inlineStr">
        <is>
          <t>https://www2.census.gov/programs-surveys/popest/datasets/2010-2019/national/totals/nst-est2019-alldata.csv</t>
        </is>
      </c>
    </row>
    <row r="145">
      <c r="A145" s="172" t="n">
        <v>2017</v>
      </c>
      <c r="B145" t="inlineStr">
        <is>
          <t>SD</t>
        </is>
      </c>
      <c r="C145" t="inlineStr">
        <is>
          <t>46</t>
        </is>
      </c>
      <c r="D145" t="inlineStr">
        <is>
          <t>South Dakota</t>
        </is>
      </c>
      <c r="E145" s="172" t="n">
        <v>3</v>
      </c>
      <c r="F145" s="172" t="n">
        <v>872868</v>
      </c>
      <c r="G145" s="172" t="n">
        <v>0.3437</v>
      </c>
      <c r="H145" s="172" t="n">
        <v>3.4369</v>
      </c>
      <c r="I145" s="172" t="n">
        <v>0</v>
      </c>
      <c r="J145" t="n">
        <v>0</v>
      </c>
      <c r="K145" s="172" t="n">
        <v>3</v>
      </c>
      <c r="L145" t="n">
        <v>3.4369</v>
      </c>
      <c r="M145" s="172" t="n">
        <v>1</v>
      </c>
      <c r="N145" t="n">
        <v>1.1456</v>
      </c>
      <c r="O145" s="172" t="n">
        <v>0</v>
      </c>
      <c r="P145" t="n">
        <v>0</v>
      </c>
      <c r="Q145" s="172" t="n">
        <v>3</v>
      </c>
      <c r="R145" s="172" t="n">
        <v>0</v>
      </c>
      <c r="S145" s="172" t="inlineStr">
        <is>
          <t>Census PEP Vintage 2019</t>
        </is>
      </c>
      <c r="T145" s="172" t="inlineStr">
        <is>
          <t>https://www2.census.gov/programs-surveys/popest/datasets/2010-2019/national/totals/nst-est2019-alldata.csv</t>
        </is>
      </c>
    </row>
    <row r="146">
      <c r="A146" s="172" t="n">
        <v>2017</v>
      </c>
      <c r="B146" t="inlineStr">
        <is>
          <t>TN</t>
        </is>
      </c>
      <c r="C146" t="inlineStr">
        <is>
          <t>47</t>
        </is>
      </c>
      <c r="D146" t="inlineStr">
        <is>
          <t>Tennessee</t>
        </is>
      </c>
      <c r="E146" s="172" t="n">
        <v>27</v>
      </c>
      <c r="F146" s="172" t="n">
        <v>6708799</v>
      </c>
      <c r="G146" s="172" t="n">
        <v>0.4025</v>
      </c>
      <c r="H146" s="172" t="n">
        <v>4.0246</v>
      </c>
      <c r="I146" s="172" t="n">
        <v>1</v>
      </c>
      <c r="J146" t="n">
        <v>0.1491</v>
      </c>
      <c r="K146" s="172" t="n">
        <v>15</v>
      </c>
      <c r="L146" t="n">
        <v>2.2359</v>
      </c>
      <c r="M146" s="172" t="n">
        <v>7</v>
      </c>
      <c r="N146" t="n">
        <v>1.0434</v>
      </c>
      <c r="O146" s="172" t="n">
        <v>1</v>
      </c>
      <c r="P146" t="n">
        <v>0.1491</v>
      </c>
      <c r="Q146" s="172" t="n">
        <v>24</v>
      </c>
      <c r="R146" s="172" t="n">
        <v>3</v>
      </c>
      <c r="S146" s="172" t="inlineStr">
        <is>
          <t>Census PEP Vintage 2019</t>
        </is>
      </c>
      <c r="T146" s="172" t="inlineStr">
        <is>
          <t>https://www2.census.gov/programs-surveys/popest/datasets/2010-2019/national/totals/nst-est2019-alldata.csv</t>
        </is>
      </c>
    </row>
    <row r="147">
      <c r="A147" s="172" t="n">
        <v>2017</v>
      </c>
      <c r="B147" t="inlineStr">
        <is>
          <t>TX</t>
        </is>
      </c>
      <c r="C147" t="inlineStr">
        <is>
          <t>48</t>
        </is>
      </c>
      <c r="D147" t="inlineStr">
        <is>
          <t>Texas</t>
        </is>
      </c>
      <c r="E147" s="172" t="n">
        <v>71</v>
      </c>
      <c r="F147" s="172" t="n">
        <v>28295273</v>
      </c>
      <c r="G147" s="172" t="n">
        <v>0.2509</v>
      </c>
      <c r="H147" s="172" t="n">
        <v>2.5093</v>
      </c>
      <c r="I147" s="172" t="n">
        <v>5</v>
      </c>
      <c r="J147" t="n">
        <v>0.1767</v>
      </c>
      <c r="K147" s="172" t="n">
        <v>42</v>
      </c>
      <c r="L147" t="n">
        <v>1.4843</v>
      </c>
      <c r="M147" s="172" t="n">
        <v>10</v>
      </c>
      <c r="N147" t="n">
        <v>0.3534</v>
      </c>
      <c r="O147" s="172" t="n">
        <v>10</v>
      </c>
      <c r="P147" t="n">
        <v>0.3534</v>
      </c>
      <c r="Q147" s="172" t="n">
        <v>71</v>
      </c>
      <c r="R147" s="172" t="n">
        <v>0</v>
      </c>
      <c r="S147" s="172" t="inlineStr">
        <is>
          <t>Census PEP Vintage 2019</t>
        </is>
      </c>
      <c r="T147" s="172" t="inlineStr">
        <is>
          <t>https://www2.census.gov/programs-surveys/popest/datasets/2010-2019/national/totals/nst-est2019-alldata.csv</t>
        </is>
      </c>
    </row>
    <row r="148">
      <c r="A148" s="172" t="n">
        <v>2017</v>
      </c>
      <c r="B148" t="inlineStr">
        <is>
          <t>UT</t>
        </is>
      </c>
      <c r="C148" t="inlineStr">
        <is>
          <t>49</t>
        </is>
      </c>
      <c r="D148" t="inlineStr">
        <is>
          <t>Utah</t>
        </is>
      </c>
      <c r="E148" s="172" t="n">
        <v>6</v>
      </c>
      <c r="F148" s="172" t="n">
        <v>3101042</v>
      </c>
      <c r="G148" s="172" t="n">
        <v>0.1935</v>
      </c>
      <c r="H148" s="172" t="n">
        <v>1.9348</v>
      </c>
      <c r="I148" s="172" t="n">
        <v>0</v>
      </c>
      <c r="J148" t="n">
        <v>0</v>
      </c>
      <c r="K148" s="172" t="n">
        <v>3</v>
      </c>
      <c r="L148" t="n">
        <v>0.9674</v>
      </c>
      <c r="M148" s="172" t="n">
        <v>2</v>
      </c>
      <c r="N148" t="n">
        <v>0.6449</v>
      </c>
      <c r="O148" s="172" t="n">
        <v>3</v>
      </c>
      <c r="P148" t="n">
        <v>0.9674</v>
      </c>
      <c r="Q148" s="172" t="n">
        <v>6</v>
      </c>
      <c r="R148" s="172" t="n">
        <v>0</v>
      </c>
      <c r="S148" s="172" t="inlineStr">
        <is>
          <t>Census PEP Vintage 2019</t>
        </is>
      </c>
      <c r="T148" s="172" t="inlineStr">
        <is>
          <t>https://www2.census.gov/programs-surveys/popest/datasets/2010-2019/national/totals/nst-est2019-alldata.csv</t>
        </is>
      </c>
    </row>
    <row r="149">
      <c r="A149" s="172" t="n">
        <v>2017</v>
      </c>
      <c r="B149" t="inlineStr">
        <is>
          <t>VA</t>
        </is>
      </c>
      <c r="C149" t="inlineStr">
        <is>
          <t>51</t>
        </is>
      </c>
      <c r="D149" t="inlineStr">
        <is>
          <t>Virginia</t>
        </is>
      </c>
      <c r="E149" s="172" t="n">
        <v>23</v>
      </c>
      <c r="F149" s="172" t="n">
        <v>8463587</v>
      </c>
      <c r="G149" s="172" t="n">
        <v>0.2718</v>
      </c>
      <c r="H149" s="172" t="n">
        <v>2.7175</v>
      </c>
      <c r="I149" s="172" t="n">
        <v>1</v>
      </c>
      <c r="J149" t="n">
        <v>0.1182</v>
      </c>
      <c r="K149" s="172" t="n">
        <v>15</v>
      </c>
      <c r="L149" t="n">
        <v>1.7723</v>
      </c>
      <c r="M149" s="172" t="n">
        <v>8</v>
      </c>
      <c r="N149" t="n">
        <v>0.9452</v>
      </c>
      <c r="O149" s="172" t="n">
        <v>0</v>
      </c>
      <c r="P149" t="n">
        <v>0</v>
      </c>
      <c r="Q149" s="172" t="n">
        <v>22</v>
      </c>
      <c r="R149" s="172" t="n">
        <v>1</v>
      </c>
      <c r="S149" s="172" t="inlineStr">
        <is>
          <t>Census PEP Vintage 2019</t>
        </is>
      </c>
      <c r="T149" s="172" t="inlineStr">
        <is>
          <t>https://www2.census.gov/programs-surveys/popest/datasets/2010-2019/national/totals/nst-est2019-alldata.csv</t>
        </is>
      </c>
    </row>
    <row r="150">
      <c r="A150" s="172" t="n">
        <v>2017</v>
      </c>
      <c r="B150" t="inlineStr">
        <is>
          <t>VT</t>
        </is>
      </c>
      <c r="C150" t="inlineStr">
        <is>
          <t>50</t>
        </is>
      </c>
      <c r="D150" t="inlineStr">
        <is>
          <t>Vermont</t>
        </is>
      </c>
      <c r="E150" s="172" t="n">
        <v>1</v>
      </c>
      <c r="F150" s="172" t="n">
        <v>624344</v>
      </c>
      <c r="G150" s="172" t="n">
        <v>0.1602</v>
      </c>
      <c r="H150" s="172" t="n">
        <v>1.6017</v>
      </c>
      <c r="I150" s="172" t="n">
        <v>0</v>
      </c>
      <c r="J150" t="n">
        <v>0</v>
      </c>
      <c r="K150" s="172" t="n">
        <v>0</v>
      </c>
      <c r="L150" t="n">
        <v>0</v>
      </c>
      <c r="M150" s="172" t="n">
        <v>1</v>
      </c>
      <c r="N150" t="n">
        <v>1.6017</v>
      </c>
      <c r="O150" s="172" t="n">
        <v>0</v>
      </c>
      <c r="P150" t="n">
        <v>0</v>
      </c>
      <c r="Q150" s="172" t="n">
        <v>1</v>
      </c>
      <c r="R150" s="172" t="n">
        <v>0</v>
      </c>
      <c r="S150" s="172" t="inlineStr">
        <is>
          <t>Census PEP Vintage 2019</t>
        </is>
      </c>
      <c r="T150" s="172" t="inlineStr">
        <is>
          <t>https://www2.census.gov/programs-surveys/popest/datasets/2010-2019/national/totals/nst-est2019-alldata.csv</t>
        </is>
      </c>
    </row>
    <row r="151">
      <c r="A151" s="172" t="n">
        <v>2017</v>
      </c>
      <c r="B151" t="inlineStr">
        <is>
          <t>WA</t>
        </is>
      </c>
      <c r="C151" t="inlineStr">
        <is>
          <t>53</t>
        </is>
      </c>
      <c r="D151" t="inlineStr">
        <is>
          <t>Washington</t>
        </is>
      </c>
      <c r="E151" s="172" t="n">
        <v>38</v>
      </c>
      <c r="F151" s="172" t="n">
        <v>7423362</v>
      </c>
      <c r="G151" s="172" t="n">
        <v>0.5119</v>
      </c>
      <c r="H151" s="172" t="n">
        <v>5.119</v>
      </c>
      <c r="I151" s="172" t="n">
        <v>0</v>
      </c>
      <c r="J151" t="n">
        <v>0</v>
      </c>
      <c r="K151" s="172" t="n">
        <v>19</v>
      </c>
      <c r="L151" t="n">
        <v>2.5595</v>
      </c>
      <c r="M151" s="172" t="n">
        <v>12</v>
      </c>
      <c r="N151" t="n">
        <v>1.6165</v>
      </c>
      <c r="O151" s="172" t="n">
        <v>5</v>
      </c>
      <c r="P151" t="n">
        <v>0.6735</v>
      </c>
      <c r="Q151" s="172" t="n">
        <v>31</v>
      </c>
      <c r="R151" s="172" t="n">
        <v>7</v>
      </c>
      <c r="S151" s="172" t="inlineStr">
        <is>
          <t>Census PEP Vintage 2019</t>
        </is>
      </c>
      <c r="T151" s="172" t="inlineStr">
        <is>
          <t>https://www2.census.gov/programs-surveys/popest/datasets/2010-2019/national/totals/nst-est2019-alldata.csv</t>
        </is>
      </c>
    </row>
    <row r="152">
      <c r="A152" s="172" t="n">
        <v>2017</v>
      </c>
      <c r="B152" t="inlineStr">
        <is>
          <t>WI</t>
        </is>
      </c>
      <c r="C152" t="inlineStr">
        <is>
          <t>55</t>
        </is>
      </c>
      <c r="D152" t="inlineStr">
        <is>
          <t>Wisconsin</t>
        </is>
      </c>
      <c r="E152" s="172" t="n">
        <v>24</v>
      </c>
      <c r="F152" s="172" t="n">
        <v>5790186</v>
      </c>
      <c r="G152" s="172" t="n">
        <v>0.4145</v>
      </c>
      <c r="H152" s="172" t="n">
        <v>4.1449</v>
      </c>
      <c r="I152" s="172" t="n">
        <v>2</v>
      </c>
      <c r="J152" t="n">
        <v>0.3454</v>
      </c>
      <c r="K152" s="172" t="n">
        <v>15</v>
      </c>
      <c r="L152" t="n">
        <v>2.5906</v>
      </c>
      <c r="M152" s="172" t="n">
        <v>7</v>
      </c>
      <c r="N152" t="n">
        <v>1.2089</v>
      </c>
      <c r="O152" s="172" t="n">
        <v>4</v>
      </c>
      <c r="P152" t="n">
        <v>0.6908</v>
      </c>
      <c r="Q152" s="172" t="n">
        <v>24</v>
      </c>
      <c r="R152" s="172" t="n">
        <v>0</v>
      </c>
      <c r="S152" s="172" t="inlineStr">
        <is>
          <t>Census PEP Vintage 2019</t>
        </is>
      </c>
      <c r="T152" s="172" t="inlineStr">
        <is>
          <t>https://www2.census.gov/programs-surveys/popest/datasets/2010-2019/national/totals/nst-est2019-alldata.csv</t>
        </is>
      </c>
    </row>
    <row r="153">
      <c r="A153" s="172" t="n">
        <v>2017</v>
      </c>
      <c r="B153" t="inlineStr">
        <is>
          <t>WV</t>
        </is>
      </c>
      <c r="C153" t="inlineStr">
        <is>
          <t>54</t>
        </is>
      </c>
      <c r="D153" t="inlineStr">
        <is>
          <t>West Virginia</t>
        </is>
      </c>
      <c r="E153" s="172" t="n">
        <v>11</v>
      </c>
      <c r="F153" s="172" t="n">
        <v>1817004</v>
      </c>
      <c r="G153" s="172" t="n">
        <v>0.6054</v>
      </c>
      <c r="H153" s="172" t="n">
        <v>6.0539</v>
      </c>
      <c r="I153" s="172" t="n">
        <v>0</v>
      </c>
      <c r="J153" t="n">
        <v>0</v>
      </c>
      <c r="K153" s="172" t="n">
        <v>5</v>
      </c>
      <c r="L153" t="n">
        <v>2.7518</v>
      </c>
      <c r="M153" s="172" t="n">
        <v>3</v>
      </c>
      <c r="N153" t="n">
        <v>1.6511</v>
      </c>
      <c r="O153" s="172" t="n">
        <v>0</v>
      </c>
      <c r="P153" t="n">
        <v>0</v>
      </c>
      <c r="Q153" s="172" t="n">
        <v>9</v>
      </c>
      <c r="R153" s="172" t="n">
        <v>2</v>
      </c>
      <c r="S153" s="172" t="inlineStr">
        <is>
          <t>Census PEP Vintage 2019</t>
        </is>
      </c>
      <c r="T153" s="172" t="inlineStr">
        <is>
          <t>https://www2.census.gov/programs-surveys/popest/datasets/2010-2019/national/totals/nst-est2019-alldata.csv</t>
        </is>
      </c>
    </row>
    <row r="154">
      <c r="A154" s="172" t="n">
        <v>2017</v>
      </c>
      <c r="B154" t="inlineStr">
        <is>
          <t>WY</t>
        </is>
      </c>
      <c r="C154" t="inlineStr">
        <is>
          <t>56</t>
        </is>
      </c>
      <c r="D154" t="inlineStr">
        <is>
          <t>Wyoming</t>
        </is>
      </c>
      <c r="E154" s="172" t="n">
        <v>1</v>
      </c>
      <c r="F154" s="172" t="n">
        <v>578931</v>
      </c>
      <c r="G154" s="172" t="n">
        <v>0.1727</v>
      </c>
      <c r="H154" s="172" t="n">
        <v>1.7273</v>
      </c>
      <c r="I154" s="172" t="n">
        <v>0</v>
      </c>
      <c r="J154" t="n">
        <v>0</v>
      </c>
      <c r="K154" s="172" t="n">
        <v>1</v>
      </c>
      <c r="L154" t="n">
        <v>1.7273</v>
      </c>
      <c r="M154" s="172" t="n">
        <v>0</v>
      </c>
      <c r="N154" t="n">
        <v>0</v>
      </c>
      <c r="O154" s="172" t="n">
        <v>0</v>
      </c>
      <c r="P154" t="n">
        <v>0</v>
      </c>
      <c r="Q154" s="172" t="n">
        <v>1</v>
      </c>
      <c r="R154" s="172" t="n">
        <v>0</v>
      </c>
      <c r="S154" s="172" t="inlineStr">
        <is>
          <t>Census PEP Vintage 2019</t>
        </is>
      </c>
      <c r="T154" s="172" t="inlineStr">
        <is>
          <t>https://www2.census.gov/programs-surveys/popest/datasets/2010-2019/national/totals/nst-est2019-alldata.csv</t>
        </is>
      </c>
    </row>
    <row r="155">
      <c r="A155" s="172" t="n">
        <v>2018</v>
      </c>
      <c r="B155" t="inlineStr">
        <is>
          <t>AK</t>
        </is>
      </c>
      <c r="C155" t="inlineStr">
        <is>
          <t>02</t>
        </is>
      </c>
      <c r="D155" t="inlineStr">
        <is>
          <t>Alaska</t>
        </is>
      </c>
      <c r="E155" s="172" t="n">
        <v>7</v>
      </c>
      <c r="F155" s="172" t="n">
        <v>735139</v>
      </c>
      <c r="G155" s="172" t="n">
        <v>0.9522</v>
      </c>
      <c r="H155" s="172" t="n">
        <v>9.522</v>
      </c>
      <c r="I155" s="172" t="n">
        <v>1</v>
      </c>
      <c r="J155" t="n">
        <v>1.3603</v>
      </c>
      <c r="K155" s="172" t="n">
        <v>1</v>
      </c>
      <c r="L155" t="n">
        <v>1.3603</v>
      </c>
      <c r="M155" s="172" t="n">
        <v>0</v>
      </c>
      <c r="N155" t="n">
        <v>0</v>
      </c>
      <c r="O155" s="172" t="n">
        <v>1</v>
      </c>
      <c r="P155" t="n">
        <v>1.3603</v>
      </c>
      <c r="Q155" s="172" t="n">
        <v>7</v>
      </c>
      <c r="R155" s="172" t="n">
        <v>0</v>
      </c>
      <c r="S155" s="172" t="inlineStr">
        <is>
          <t>Census PEP Vintage 2019</t>
        </is>
      </c>
      <c r="T155" s="172" t="inlineStr">
        <is>
          <t>https://www2.census.gov/programs-surveys/popest/datasets/2010-2019/national/totals/nst-est2019-alldata.csv</t>
        </is>
      </c>
    </row>
    <row r="156">
      <c r="A156" s="172" t="n">
        <v>2018</v>
      </c>
      <c r="B156" t="inlineStr">
        <is>
          <t>AL</t>
        </is>
      </c>
      <c r="C156" t="inlineStr">
        <is>
          <t>01</t>
        </is>
      </c>
      <c r="D156" t="inlineStr">
        <is>
          <t>Alabama</t>
        </is>
      </c>
      <c r="E156" s="172" t="n">
        <v>13</v>
      </c>
      <c r="F156" s="172" t="n">
        <v>4887681</v>
      </c>
      <c r="G156" s="172" t="n">
        <v>0.266</v>
      </c>
      <c r="H156" s="172" t="n">
        <v>2.6597</v>
      </c>
      <c r="I156" s="172" t="n">
        <v>0</v>
      </c>
      <c r="J156" t="n">
        <v>0</v>
      </c>
      <c r="K156" s="172" t="n">
        <v>9</v>
      </c>
      <c r="L156" t="n">
        <v>1.8414</v>
      </c>
      <c r="M156" s="172" t="n">
        <v>2</v>
      </c>
      <c r="N156" t="n">
        <v>0.4092</v>
      </c>
      <c r="O156" s="172" t="n">
        <v>1</v>
      </c>
      <c r="P156" t="n">
        <v>0.2046</v>
      </c>
      <c r="Q156" s="172" t="n">
        <v>12</v>
      </c>
      <c r="R156" s="172" t="n">
        <v>1</v>
      </c>
      <c r="S156" s="172" t="inlineStr">
        <is>
          <t>Census PEP Vintage 2019</t>
        </is>
      </c>
      <c r="T156" s="172" t="inlineStr">
        <is>
          <t>https://www2.census.gov/programs-surveys/popest/datasets/2010-2019/national/totals/nst-est2019-alldata.csv</t>
        </is>
      </c>
    </row>
    <row r="157">
      <c r="A157" s="172" t="n">
        <v>2018</v>
      </c>
      <c r="B157" t="inlineStr">
        <is>
          <t>AR</t>
        </is>
      </c>
      <c r="C157" t="inlineStr">
        <is>
          <t>05</t>
        </is>
      </c>
      <c r="D157" t="inlineStr">
        <is>
          <t>Arkansas</t>
        </is>
      </c>
      <c r="E157" s="172" t="n">
        <v>20</v>
      </c>
      <c r="F157" s="172" t="n">
        <v>3009733</v>
      </c>
      <c r="G157" s="172" t="n">
        <v>0.6645</v>
      </c>
      <c r="H157" s="172" t="n">
        <v>6.6451</v>
      </c>
      <c r="I157" s="172" t="n">
        <v>0</v>
      </c>
      <c r="J157" t="n">
        <v>0</v>
      </c>
      <c r="K157" s="172" t="n">
        <v>12</v>
      </c>
      <c r="L157" t="n">
        <v>3.9871</v>
      </c>
      <c r="M157" s="172" t="n">
        <v>2</v>
      </c>
      <c r="N157" t="n">
        <v>0.6645</v>
      </c>
      <c r="O157" s="172" t="n">
        <v>1</v>
      </c>
      <c r="P157" t="n">
        <v>0.3323</v>
      </c>
      <c r="Q157" s="172" t="n">
        <v>20</v>
      </c>
      <c r="R157" s="172" t="n">
        <v>0</v>
      </c>
      <c r="S157" s="172" t="inlineStr">
        <is>
          <t>Census PEP Vintage 2019</t>
        </is>
      </c>
      <c r="T157" s="172" t="inlineStr">
        <is>
          <t>https://www2.census.gov/programs-surveys/popest/datasets/2010-2019/national/totals/nst-est2019-alldata.csv</t>
        </is>
      </c>
    </row>
    <row r="158">
      <c r="A158" s="172" t="n">
        <v>2018</v>
      </c>
      <c r="B158" t="inlineStr">
        <is>
          <t>AZ</t>
        </is>
      </c>
      <c r="C158" t="inlineStr">
        <is>
          <t>04</t>
        </is>
      </c>
      <c r="D158" t="inlineStr">
        <is>
          <t>Arizona</t>
        </is>
      </c>
      <c r="E158" s="172" t="n">
        <v>61</v>
      </c>
      <c r="F158" s="172" t="n">
        <v>7158024</v>
      </c>
      <c r="G158" s="172" t="n">
        <v>0.8522</v>
      </c>
      <c r="H158" s="172" t="n">
        <v>8.5219</v>
      </c>
      <c r="I158" s="172" t="n">
        <v>4</v>
      </c>
      <c r="J158" t="n">
        <v>0.5588</v>
      </c>
      <c r="K158" s="172" t="n">
        <v>43</v>
      </c>
      <c r="L158" t="n">
        <v>6.0072</v>
      </c>
      <c r="M158" s="172" t="n">
        <v>7</v>
      </c>
      <c r="N158" t="n">
        <v>0.9779</v>
      </c>
      <c r="O158" s="172" t="n">
        <v>3</v>
      </c>
      <c r="P158" t="n">
        <v>0.4191</v>
      </c>
      <c r="Q158" s="172" t="n">
        <v>56</v>
      </c>
      <c r="R158" s="172" t="n">
        <v>5</v>
      </c>
      <c r="S158" s="172" t="inlineStr">
        <is>
          <t>Census PEP Vintage 2019</t>
        </is>
      </c>
      <c r="T158" s="172" t="inlineStr">
        <is>
          <t>https://www2.census.gov/programs-surveys/popest/datasets/2010-2019/national/totals/nst-est2019-alldata.csv</t>
        </is>
      </c>
    </row>
    <row r="159">
      <c r="A159" s="172" t="n">
        <v>2018</v>
      </c>
      <c r="B159" t="inlineStr">
        <is>
          <t>CA</t>
        </is>
      </c>
      <c r="C159" t="inlineStr">
        <is>
          <t>06</t>
        </is>
      </c>
      <c r="D159" t="inlineStr">
        <is>
          <t>California</t>
        </is>
      </c>
      <c r="E159" s="172" t="n">
        <v>116</v>
      </c>
      <c r="F159" s="172" t="n">
        <v>39461588</v>
      </c>
      <c r="G159" s="172" t="n">
        <v>0.294</v>
      </c>
      <c r="H159" s="172" t="n">
        <v>2.9396</v>
      </c>
      <c r="I159" s="172" t="n">
        <v>4</v>
      </c>
      <c r="J159" t="n">
        <v>0.1014</v>
      </c>
      <c r="K159" s="172" t="n">
        <v>51</v>
      </c>
      <c r="L159" t="n">
        <v>1.2924</v>
      </c>
      <c r="M159" s="172" t="n">
        <v>30</v>
      </c>
      <c r="N159" t="n">
        <v>0.7602</v>
      </c>
      <c r="O159" s="172" t="n">
        <v>22</v>
      </c>
      <c r="P159" t="n">
        <v>0.5575</v>
      </c>
      <c r="Q159" s="172" t="n">
        <v>107</v>
      </c>
      <c r="R159" s="172" t="n">
        <v>9</v>
      </c>
      <c r="S159" s="172" t="inlineStr">
        <is>
          <t>Census PEP Vintage 2019</t>
        </is>
      </c>
      <c r="T159" s="172" t="inlineStr">
        <is>
          <t>https://www2.census.gov/programs-surveys/popest/datasets/2010-2019/national/totals/nst-est2019-alldata.csv</t>
        </is>
      </c>
    </row>
    <row r="160">
      <c r="A160" s="172" t="n">
        <v>2018</v>
      </c>
      <c r="B160" t="inlineStr">
        <is>
          <t>CO</t>
        </is>
      </c>
      <c r="C160" t="inlineStr">
        <is>
          <t>08</t>
        </is>
      </c>
      <c r="D160" t="inlineStr">
        <is>
          <t>Colorado</t>
        </is>
      </c>
      <c r="E160" s="172" t="n">
        <v>46</v>
      </c>
      <c r="F160" s="172" t="n">
        <v>5691287</v>
      </c>
      <c r="G160" s="172" t="n">
        <v>0.8083</v>
      </c>
      <c r="H160" s="172" t="n">
        <v>8.0825</v>
      </c>
      <c r="I160" s="172" t="n">
        <v>2</v>
      </c>
      <c r="J160" t="n">
        <v>0.3514</v>
      </c>
      <c r="K160" s="172" t="n">
        <v>29</v>
      </c>
      <c r="L160" t="n">
        <v>5.0955</v>
      </c>
      <c r="M160" s="172" t="n">
        <v>3</v>
      </c>
      <c r="N160" t="n">
        <v>0.5271</v>
      </c>
      <c r="O160" s="172" t="n">
        <v>5</v>
      </c>
      <c r="P160" t="n">
        <v>0.8784999999999999</v>
      </c>
      <c r="Q160" s="172" t="n">
        <v>41</v>
      </c>
      <c r="R160" s="172" t="n">
        <v>5</v>
      </c>
      <c r="S160" s="172" t="inlineStr">
        <is>
          <t>Census PEP Vintage 2019</t>
        </is>
      </c>
      <c r="T160" s="172" t="inlineStr">
        <is>
          <t>https://www2.census.gov/programs-surveys/popest/datasets/2010-2019/national/totals/nst-est2019-alldata.csv</t>
        </is>
      </c>
    </row>
    <row r="161">
      <c r="A161" s="172" t="n">
        <v>2018</v>
      </c>
      <c r="B161" t="inlineStr">
        <is>
          <t>CT</t>
        </is>
      </c>
      <c r="C161" t="inlineStr">
        <is>
          <t>09</t>
        </is>
      </c>
      <c r="D161" t="inlineStr">
        <is>
          <t>Connecticut</t>
        </is>
      </c>
      <c r="E161" s="172" t="n">
        <v>1</v>
      </c>
      <c r="F161" s="172" t="n">
        <v>3571520</v>
      </c>
      <c r="G161" s="172" t="n">
        <v>0.028</v>
      </c>
      <c r="H161" s="172" t="n">
        <v>0.28</v>
      </c>
      <c r="I161" s="172" t="n">
        <v>0</v>
      </c>
      <c r="J161" t="n">
        <v>0</v>
      </c>
      <c r="K161" s="172" t="n">
        <v>0</v>
      </c>
      <c r="L161" t="n">
        <v>0</v>
      </c>
      <c r="M161" s="172" t="n">
        <v>0</v>
      </c>
      <c r="N161" t="n">
        <v>0</v>
      </c>
      <c r="O161" s="172" t="n">
        <v>0</v>
      </c>
      <c r="P161" t="n">
        <v>0</v>
      </c>
      <c r="Q161" s="172" t="n">
        <v>1</v>
      </c>
      <c r="R161" s="172" t="n">
        <v>0</v>
      </c>
      <c r="S161" s="172" t="inlineStr">
        <is>
          <t>Census PEP Vintage 2019</t>
        </is>
      </c>
      <c r="T161" s="172" t="inlineStr">
        <is>
          <t>https://www2.census.gov/programs-surveys/popest/datasets/2010-2019/national/totals/nst-est2019-alldata.csv</t>
        </is>
      </c>
    </row>
    <row r="162">
      <c r="A162" s="172" t="n">
        <v>2018</v>
      </c>
      <c r="B162" t="inlineStr">
        <is>
          <t>DC</t>
        </is>
      </c>
      <c r="C162" t="inlineStr">
        <is>
          <t>11</t>
        </is>
      </c>
      <c r="D162" t="inlineStr">
        <is>
          <t>District of Columbia</t>
        </is>
      </c>
      <c r="E162" s="172" t="n">
        <v>1</v>
      </c>
      <c r="F162" s="172" t="n">
        <v>701547</v>
      </c>
      <c r="G162" s="172" t="n">
        <v>0.1425</v>
      </c>
      <c r="H162" s="172" t="n">
        <v>1.4254</v>
      </c>
      <c r="I162" s="172" t="n">
        <v>0</v>
      </c>
      <c r="J162" t="n">
        <v>0</v>
      </c>
      <c r="K162" s="172" t="n">
        <v>1</v>
      </c>
      <c r="L162" t="n">
        <v>1.4254</v>
      </c>
      <c r="M162" s="172" t="n">
        <v>0</v>
      </c>
      <c r="N162" t="n">
        <v>0</v>
      </c>
      <c r="O162" s="172" t="n">
        <v>0</v>
      </c>
      <c r="P162" t="n">
        <v>0</v>
      </c>
      <c r="Q162" s="172" t="n">
        <v>1</v>
      </c>
      <c r="R162" s="172" t="n">
        <v>0</v>
      </c>
      <c r="S162" s="172" t="inlineStr">
        <is>
          <t>Census PEP Vintage 2019</t>
        </is>
      </c>
      <c r="T162" s="172" t="inlineStr">
        <is>
          <t>https://www2.census.gov/programs-surveys/popest/datasets/2010-2019/national/totals/nst-est2019-alldata.csv</t>
        </is>
      </c>
    </row>
    <row r="163">
      <c r="A163" s="172" t="n">
        <v>2018</v>
      </c>
      <c r="B163" t="inlineStr">
        <is>
          <t>DE</t>
        </is>
      </c>
      <c r="C163" t="inlineStr">
        <is>
          <t>10</t>
        </is>
      </c>
      <c r="D163" t="inlineStr">
        <is>
          <t>Delaware</t>
        </is>
      </c>
      <c r="E163" s="172" t="n">
        <v>0</v>
      </c>
      <c r="F163" s="172" t="n">
        <v>965479</v>
      </c>
      <c r="G163" s="172" t="n">
        <v>0</v>
      </c>
      <c r="H163" s="172" t="n">
        <v>0</v>
      </c>
      <c r="I163" s="172" t="n">
        <v>0</v>
      </c>
      <c r="J163" t="n">
        <v>0</v>
      </c>
      <c r="K163" s="172" t="n">
        <v>0</v>
      </c>
      <c r="L163" t="n">
        <v>0</v>
      </c>
      <c r="M163" s="172" t="n">
        <v>0</v>
      </c>
      <c r="N163" t="n">
        <v>0</v>
      </c>
      <c r="O163" s="172" t="n">
        <v>0</v>
      </c>
      <c r="P163" t="n">
        <v>0</v>
      </c>
      <c r="Q163" s="172" t="n">
        <v>0</v>
      </c>
      <c r="R163" s="172" t="n">
        <v>0</v>
      </c>
      <c r="S163" s="172" t="inlineStr">
        <is>
          <t>Census PEP Vintage 2019</t>
        </is>
      </c>
      <c r="T163" s="172" t="inlineStr">
        <is>
          <t>https://www2.census.gov/programs-surveys/popest/datasets/2010-2019/national/totals/nst-est2019-alldata.csv</t>
        </is>
      </c>
    </row>
    <row r="164">
      <c r="A164" s="172" t="n">
        <v>2018</v>
      </c>
      <c r="B164" t="inlineStr">
        <is>
          <t>FL</t>
        </is>
      </c>
      <c r="C164" t="inlineStr">
        <is>
          <t>12</t>
        </is>
      </c>
      <c r="D164" t="inlineStr">
        <is>
          <t>Florida</t>
        </is>
      </c>
      <c r="E164" s="172" t="n">
        <v>64</v>
      </c>
      <c r="F164" s="172" t="n">
        <v>21244317</v>
      </c>
      <c r="G164" s="172" t="n">
        <v>0.3013</v>
      </c>
      <c r="H164" s="172" t="n">
        <v>3.0126</v>
      </c>
      <c r="I164" s="172" t="n">
        <v>8</v>
      </c>
      <c r="J164" t="n">
        <v>0.3766</v>
      </c>
      <c r="K164" s="172" t="n">
        <v>33</v>
      </c>
      <c r="L164" t="n">
        <v>1.5534</v>
      </c>
      <c r="M164" s="172" t="n">
        <v>23</v>
      </c>
      <c r="N164" t="n">
        <v>1.0826</v>
      </c>
      <c r="O164" s="172" t="n">
        <v>5</v>
      </c>
      <c r="P164" t="n">
        <v>0.2354</v>
      </c>
      <c r="Q164" s="172" t="n">
        <v>62</v>
      </c>
      <c r="R164" s="172" t="n">
        <v>2</v>
      </c>
      <c r="S164" s="172" t="inlineStr">
        <is>
          <t>Census PEP Vintage 2019</t>
        </is>
      </c>
      <c r="T164" s="172" t="inlineStr">
        <is>
          <t>https://www2.census.gov/programs-surveys/popest/datasets/2010-2019/national/totals/nst-est2019-alldata.csv</t>
        </is>
      </c>
    </row>
    <row r="165">
      <c r="A165" s="172" t="n">
        <v>2018</v>
      </c>
      <c r="B165" t="inlineStr">
        <is>
          <t>GA</t>
        </is>
      </c>
      <c r="C165" t="inlineStr">
        <is>
          <t>13</t>
        </is>
      </c>
      <c r="D165" t="inlineStr">
        <is>
          <t>Georgia</t>
        </is>
      </c>
      <c r="E165" s="172" t="n">
        <v>44</v>
      </c>
      <c r="F165" s="172" t="n">
        <v>10511131</v>
      </c>
      <c r="G165" s="172" t="n">
        <v>0.4186</v>
      </c>
      <c r="H165" s="172" t="n">
        <v>4.186</v>
      </c>
      <c r="I165" s="172" t="n">
        <v>2</v>
      </c>
      <c r="J165" t="n">
        <v>0.1903</v>
      </c>
      <c r="K165" s="172" t="n">
        <v>26</v>
      </c>
      <c r="L165" t="n">
        <v>2.4736</v>
      </c>
      <c r="M165" s="172" t="n">
        <v>12</v>
      </c>
      <c r="N165" t="n">
        <v>1.1416</v>
      </c>
      <c r="O165" s="172" t="n">
        <v>4</v>
      </c>
      <c r="P165" t="n">
        <v>0.3805</v>
      </c>
      <c r="Q165" s="172" t="n">
        <v>38</v>
      </c>
      <c r="R165" s="172" t="n">
        <v>6</v>
      </c>
      <c r="S165" s="172" t="inlineStr">
        <is>
          <t>Census PEP Vintage 2019</t>
        </is>
      </c>
      <c r="T165" s="172" t="inlineStr">
        <is>
          <t>https://www2.census.gov/programs-surveys/popest/datasets/2010-2019/national/totals/nst-est2019-alldata.csv</t>
        </is>
      </c>
    </row>
    <row r="166">
      <c r="A166" s="172" t="n">
        <v>2018</v>
      </c>
      <c r="B166" t="inlineStr">
        <is>
          <t>HI</t>
        </is>
      </c>
      <c r="C166" t="inlineStr">
        <is>
          <t>15</t>
        </is>
      </c>
      <c r="D166" t="inlineStr">
        <is>
          <t>Hawaii</t>
        </is>
      </c>
      <c r="E166" s="172" t="n">
        <v>11</v>
      </c>
      <c r="F166" s="172" t="n">
        <v>1420593</v>
      </c>
      <c r="G166" s="172" t="n">
        <v>0.7743</v>
      </c>
      <c r="H166" s="172" t="n">
        <v>7.7432</v>
      </c>
      <c r="I166" s="172" t="n">
        <v>0</v>
      </c>
      <c r="J166" t="n">
        <v>0</v>
      </c>
      <c r="K166" s="172" t="n">
        <v>6</v>
      </c>
      <c r="L166" t="n">
        <v>4.2236</v>
      </c>
      <c r="M166" s="172" t="n">
        <v>5</v>
      </c>
      <c r="N166" t="n">
        <v>3.5197</v>
      </c>
      <c r="O166" s="172" t="n">
        <v>2</v>
      </c>
      <c r="P166" t="n">
        <v>1.4079</v>
      </c>
      <c r="Q166" s="172" t="n">
        <v>11</v>
      </c>
      <c r="R166" s="172" t="n">
        <v>0</v>
      </c>
      <c r="S166" s="172" t="inlineStr">
        <is>
          <t>Census PEP Vintage 2019</t>
        </is>
      </c>
      <c r="T166" s="172" t="inlineStr">
        <is>
          <t>https://www2.census.gov/programs-surveys/popest/datasets/2010-2019/national/totals/nst-est2019-alldata.csv</t>
        </is>
      </c>
    </row>
    <row r="167">
      <c r="A167" s="172" t="n">
        <v>2018</v>
      </c>
      <c r="B167" t="inlineStr">
        <is>
          <t>IA</t>
        </is>
      </c>
      <c r="C167" t="inlineStr">
        <is>
          <t>19</t>
        </is>
      </c>
      <c r="D167" t="inlineStr">
        <is>
          <t>Iowa</t>
        </is>
      </c>
      <c r="E167" s="172" t="n">
        <v>9</v>
      </c>
      <c r="F167" s="172" t="n">
        <v>3148618</v>
      </c>
      <c r="G167" s="172" t="n">
        <v>0.2858</v>
      </c>
      <c r="H167" s="172" t="n">
        <v>2.8584</v>
      </c>
      <c r="I167" s="172" t="n">
        <v>0</v>
      </c>
      <c r="J167" t="n">
        <v>0</v>
      </c>
      <c r="K167" s="172" t="n">
        <v>5</v>
      </c>
      <c r="L167" t="n">
        <v>1.588</v>
      </c>
      <c r="M167" s="172" t="n">
        <v>2</v>
      </c>
      <c r="N167" t="n">
        <v>0.6352</v>
      </c>
      <c r="O167" s="172" t="n">
        <v>2</v>
      </c>
      <c r="P167" t="n">
        <v>0.6352</v>
      </c>
      <c r="Q167" s="172" t="n">
        <v>9</v>
      </c>
      <c r="R167" s="172" t="n">
        <v>0</v>
      </c>
      <c r="S167" s="172" t="inlineStr">
        <is>
          <t>Census PEP Vintage 2019</t>
        </is>
      </c>
      <c r="T167" s="172" t="inlineStr">
        <is>
          <t>https://www2.census.gov/programs-surveys/popest/datasets/2010-2019/national/totals/nst-est2019-alldata.csv</t>
        </is>
      </c>
    </row>
    <row r="168">
      <c r="A168" s="172" t="n">
        <v>2018</v>
      </c>
      <c r="B168" t="inlineStr">
        <is>
          <t>ID</t>
        </is>
      </c>
      <c r="C168" t="inlineStr">
        <is>
          <t>16</t>
        </is>
      </c>
      <c r="D168" t="inlineStr">
        <is>
          <t>Idaho</t>
        </is>
      </c>
      <c r="E168" s="172" t="n">
        <v>13</v>
      </c>
      <c r="F168" s="172" t="n">
        <v>1750536</v>
      </c>
      <c r="G168" s="172" t="n">
        <v>0.7426</v>
      </c>
      <c r="H168" s="172" t="n">
        <v>7.4263</v>
      </c>
      <c r="I168" s="172" t="n">
        <v>1</v>
      </c>
      <c r="J168" t="n">
        <v>0.5713</v>
      </c>
      <c r="K168" s="172" t="n">
        <v>6</v>
      </c>
      <c r="L168" t="n">
        <v>3.4275</v>
      </c>
      <c r="M168" s="172" t="n">
        <v>2</v>
      </c>
      <c r="N168" t="n">
        <v>1.1425</v>
      </c>
      <c r="O168" s="172" t="n">
        <v>0</v>
      </c>
      <c r="P168" t="n">
        <v>0</v>
      </c>
      <c r="Q168" s="172" t="n">
        <v>12</v>
      </c>
      <c r="R168" s="172" t="n">
        <v>1</v>
      </c>
      <c r="S168" s="172" t="inlineStr">
        <is>
          <t>Census PEP Vintage 2019</t>
        </is>
      </c>
      <c r="T168" s="172" t="inlineStr">
        <is>
          <t>https://www2.census.gov/programs-surveys/popest/datasets/2010-2019/national/totals/nst-est2019-alldata.csv</t>
        </is>
      </c>
    </row>
    <row r="169">
      <c r="A169" s="172" t="n">
        <v>2018</v>
      </c>
      <c r="B169" t="inlineStr">
        <is>
          <t>IL</t>
        </is>
      </c>
      <c r="C169" t="inlineStr">
        <is>
          <t>17</t>
        </is>
      </c>
      <c r="D169" t="inlineStr">
        <is>
          <t>Illinois</t>
        </is>
      </c>
      <c r="E169" s="172" t="n">
        <v>20</v>
      </c>
      <c r="F169" s="172" t="n">
        <v>12723071</v>
      </c>
      <c r="G169" s="172" t="n">
        <v>0.1572</v>
      </c>
      <c r="H169" s="172" t="n">
        <v>1.5719</v>
      </c>
      <c r="I169" s="172" t="n">
        <v>1</v>
      </c>
      <c r="J169" t="n">
        <v>0.0786</v>
      </c>
      <c r="K169" s="172" t="n">
        <v>14</v>
      </c>
      <c r="L169" t="n">
        <v>1.1004</v>
      </c>
      <c r="M169" s="172" t="n">
        <v>2</v>
      </c>
      <c r="N169" t="n">
        <v>0.1572</v>
      </c>
      <c r="O169" s="172" t="n">
        <v>4</v>
      </c>
      <c r="P169" t="n">
        <v>0.3144</v>
      </c>
      <c r="Q169" s="172" t="n">
        <v>20</v>
      </c>
      <c r="R169" s="172" t="n">
        <v>0</v>
      </c>
      <c r="S169" s="172" t="inlineStr">
        <is>
          <t>Census PEP Vintage 2019</t>
        </is>
      </c>
      <c r="T169" s="172" t="inlineStr">
        <is>
          <t>https://www2.census.gov/programs-surveys/popest/datasets/2010-2019/national/totals/nst-est2019-alldata.csv</t>
        </is>
      </c>
    </row>
    <row r="170">
      <c r="A170" s="172" t="n">
        <v>2018</v>
      </c>
      <c r="B170" t="inlineStr">
        <is>
          <t>IN</t>
        </is>
      </c>
      <c r="C170" t="inlineStr">
        <is>
          <t>18</t>
        </is>
      </c>
      <c r="D170" t="inlineStr">
        <is>
          <t>Indiana</t>
        </is>
      </c>
      <c r="E170" s="172" t="n">
        <v>18</v>
      </c>
      <c r="F170" s="172" t="n">
        <v>6695497</v>
      </c>
      <c r="G170" s="172" t="n">
        <v>0.2688</v>
      </c>
      <c r="H170" s="172" t="n">
        <v>2.6884</v>
      </c>
      <c r="I170" s="172" t="n">
        <v>0</v>
      </c>
      <c r="J170" t="n">
        <v>0</v>
      </c>
      <c r="K170" s="172" t="n">
        <v>12</v>
      </c>
      <c r="L170" t="n">
        <v>1.7922</v>
      </c>
      <c r="M170" s="172" t="n">
        <v>5</v>
      </c>
      <c r="N170" t="n">
        <v>0.7468</v>
      </c>
      <c r="O170" s="172" t="n">
        <v>2</v>
      </c>
      <c r="P170" t="n">
        <v>0.2987</v>
      </c>
      <c r="Q170" s="172" t="n">
        <v>18</v>
      </c>
      <c r="R170" s="172" t="n">
        <v>0</v>
      </c>
      <c r="S170" s="172" t="inlineStr">
        <is>
          <t>Census PEP Vintage 2019</t>
        </is>
      </c>
      <c r="T170" s="172" t="inlineStr">
        <is>
          <t>https://www2.census.gov/programs-surveys/popest/datasets/2010-2019/national/totals/nst-est2019-alldata.csv</t>
        </is>
      </c>
    </row>
    <row r="171">
      <c r="A171" s="172" t="n">
        <v>2018</v>
      </c>
      <c r="B171" t="inlineStr">
        <is>
          <t>KS</t>
        </is>
      </c>
      <c r="C171" t="inlineStr">
        <is>
          <t>20</t>
        </is>
      </c>
      <c r="D171" t="inlineStr">
        <is>
          <t>Kansas</t>
        </is>
      </c>
      <c r="E171" s="172" t="n">
        <v>7</v>
      </c>
      <c r="F171" s="172" t="n">
        <v>2911359</v>
      </c>
      <c r="G171" s="172" t="n">
        <v>0.2404</v>
      </c>
      <c r="H171" s="172" t="n">
        <v>2.4044</v>
      </c>
      <c r="I171" s="172" t="n">
        <v>0</v>
      </c>
      <c r="J171" t="n">
        <v>0</v>
      </c>
      <c r="K171" s="172" t="n">
        <v>5</v>
      </c>
      <c r="L171" t="n">
        <v>1.7174</v>
      </c>
      <c r="M171" s="172" t="n">
        <v>2</v>
      </c>
      <c r="N171" t="n">
        <v>0.6870000000000001</v>
      </c>
      <c r="O171" s="172" t="n">
        <v>0</v>
      </c>
      <c r="P171" t="n">
        <v>0</v>
      </c>
      <c r="Q171" s="172" t="n">
        <v>7</v>
      </c>
      <c r="R171" s="172" t="n">
        <v>0</v>
      </c>
      <c r="S171" s="172" t="inlineStr">
        <is>
          <t>Census PEP Vintage 2019</t>
        </is>
      </c>
      <c r="T171" s="172" t="inlineStr">
        <is>
          <t>https://www2.census.gov/programs-surveys/popest/datasets/2010-2019/national/totals/nst-est2019-alldata.csv</t>
        </is>
      </c>
    </row>
    <row r="172">
      <c r="A172" s="172" t="n">
        <v>2018</v>
      </c>
      <c r="B172" t="inlineStr">
        <is>
          <t>KY</t>
        </is>
      </c>
      <c r="C172" t="inlineStr">
        <is>
          <t>21</t>
        </is>
      </c>
      <c r="D172" t="inlineStr">
        <is>
          <t>Kentucky</t>
        </is>
      </c>
      <c r="E172" s="172" t="n">
        <v>20</v>
      </c>
      <c r="F172" s="172" t="n">
        <v>4461153</v>
      </c>
      <c r="G172" s="172" t="n">
        <v>0.4483</v>
      </c>
      <c r="H172" s="172" t="n">
        <v>4.4831</v>
      </c>
      <c r="I172" s="172" t="n">
        <v>0</v>
      </c>
      <c r="J172" t="n">
        <v>0</v>
      </c>
      <c r="K172" s="172" t="n">
        <v>13</v>
      </c>
      <c r="L172" t="n">
        <v>2.914</v>
      </c>
      <c r="M172" s="172" t="n">
        <v>2</v>
      </c>
      <c r="N172" t="n">
        <v>0.4483</v>
      </c>
      <c r="O172" s="172" t="n">
        <v>3</v>
      </c>
      <c r="P172" t="n">
        <v>0.6725</v>
      </c>
      <c r="Q172" s="172" t="n">
        <v>20</v>
      </c>
      <c r="R172" s="172" t="n">
        <v>0</v>
      </c>
      <c r="S172" s="172" t="inlineStr">
        <is>
          <t>Census PEP Vintage 2019</t>
        </is>
      </c>
      <c r="T172" s="172" t="inlineStr">
        <is>
          <t>https://www2.census.gov/programs-surveys/popest/datasets/2010-2019/national/totals/nst-est2019-alldata.csv</t>
        </is>
      </c>
    </row>
    <row r="173">
      <c r="A173" s="172" t="n">
        <v>2018</v>
      </c>
      <c r="B173" t="inlineStr">
        <is>
          <t>LA</t>
        </is>
      </c>
      <c r="C173" t="inlineStr">
        <is>
          <t>22</t>
        </is>
      </c>
      <c r="D173" t="inlineStr">
        <is>
          <t>Louisiana</t>
        </is>
      </c>
      <c r="E173" s="172" t="n">
        <v>15</v>
      </c>
      <c r="F173" s="172" t="n">
        <v>4659690</v>
      </c>
      <c r="G173" s="172" t="n">
        <v>0.3219</v>
      </c>
      <c r="H173" s="172" t="n">
        <v>3.2191</v>
      </c>
      <c r="I173" s="172" t="n">
        <v>3</v>
      </c>
      <c r="J173" t="n">
        <v>0.6438</v>
      </c>
      <c r="K173" s="172" t="n">
        <v>7</v>
      </c>
      <c r="L173" t="n">
        <v>1.5022</v>
      </c>
      <c r="M173" s="172" t="n">
        <v>1</v>
      </c>
      <c r="N173" t="n">
        <v>0.2146</v>
      </c>
      <c r="O173" s="172" t="n">
        <v>1</v>
      </c>
      <c r="P173" t="n">
        <v>0.2146</v>
      </c>
      <c r="Q173" s="172" t="n">
        <v>14</v>
      </c>
      <c r="R173" s="172" t="n">
        <v>1</v>
      </c>
      <c r="S173" s="172" t="inlineStr">
        <is>
          <t>Census PEP Vintage 2019</t>
        </is>
      </c>
      <c r="T173" s="172" t="inlineStr">
        <is>
          <t>https://www2.census.gov/programs-surveys/popest/datasets/2010-2019/national/totals/nst-est2019-alldata.csv</t>
        </is>
      </c>
    </row>
    <row r="174">
      <c r="A174" s="172" t="n">
        <v>2018</v>
      </c>
      <c r="B174" t="inlineStr">
        <is>
          <t>MA</t>
        </is>
      </c>
      <c r="C174" t="inlineStr">
        <is>
          <t>25</t>
        </is>
      </c>
      <c r="D174" t="inlineStr">
        <is>
          <t>Massachusetts</t>
        </is>
      </c>
      <c r="E174" s="172" t="n">
        <v>3</v>
      </c>
      <c r="F174" s="172" t="n">
        <v>6882635</v>
      </c>
      <c r="G174" s="172" t="n">
        <v>0.0436</v>
      </c>
      <c r="H174" s="172" t="n">
        <v>0.4359</v>
      </c>
      <c r="I174" s="172" t="n">
        <v>1</v>
      </c>
      <c r="J174" t="n">
        <v>0.1453</v>
      </c>
      <c r="K174" s="172" t="n">
        <v>1</v>
      </c>
      <c r="L174" t="n">
        <v>0.1453</v>
      </c>
      <c r="M174" s="172" t="n">
        <v>1</v>
      </c>
      <c r="N174" t="n">
        <v>0.1453</v>
      </c>
      <c r="O174" s="172" t="n">
        <v>0</v>
      </c>
      <c r="P174" t="n">
        <v>0</v>
      </c>
      <c r="Q174" s="172" t="n">
        <v>3</v>
      </c>
      <c r="R174" s="172" t="n">
        <v>0</v>
      </c>
      <c r="S174" s="172" t="inlineStr">
        <is>
          <t>Census PEP Vintage 2019</t>
        </is>
      </c>
      <c r="T174" s="172" t="inlineStr">
        <is>
          <t>https://www2.census.gov/programs-surveys/popest/datasets/2010-2019/national/totals/nst-est2019-alldata.csv</t>
        </is>
      </c>
    </row>
    <row r="175">
      <c r="A175" s="172" t="n">
        <v>2018</v>
      </c>
      <c r="B175" t="inlineStr">
        <is>
          <t>MD</t>
        </is>
      </c>
      <c r="C175" t="inlineStr">
        <is>
          <t>24</t>
        </is>
      </c>
      <c r="D175" t="inlineStr">
        <is>
          <t>Maryland</t>
        </is>
      </c>
      <c r="E175" s="172" t="n">
        <v>12</v>
      </c>
      <c r="F175" s="172" t="n">
        <v>6035802</v>
      </c>
      <c r="G175" s="172" t="n">
        <v>0.1988</v>
      </c>
      <c r="H175" s="172" t="n">
        <v>1.9881</v>
      </c>
      <c r="I175" s="172" t="n">
        <v>1</v>
      </c>
      <c r="J175" t="n">
        <v>0.1657</v>
      </c>
      <c r="K175" s="172" t="n">
        <v>9</v>
      </c>
      <c r="L175" t="n">
        <v>1.4911</v>
      </c>
      <c r="M175" s="172" t="n">
        <v>2</v>
      </c>
      <c r="N175" t="n">
        <v>0.3314</v>
      </c>
      <c r="O175" s="172" t="n">
        <v>3</v>
      </c>
      <c r="P175" t="n">
        <v>0.497</v>
      </c>
      <c r="Q175" s="172" t="n">
        <v>12</v>
      </c>
      <c r="R175" s="172" t="n">
        <v>0</v>
      </c>
      <c r="S175" s="172" t="inlineStr">
        <is>
          <t>Census PEP Vintage 2019</t>
        </is>
      </c>
      <c r="T175" s="172" t="inlineStr">
        <is>
          <t>https://www2.census.gov/programs-surveys/popest/datasets/2010-2019/national/totals/nst-est2019-alldata.csv</t>
        </is>
      </c>
    </row>
    <row r="176">
      <c r="A176" s="172" t="n">
        <v>2018</v>
      </c>
      <c r="B176" t="inlineStr">
        <is>
          <t>ME</t>
        </is>
      </c>
      <c r="C176" t="inlineStr">
        <is>
          <t>23</t>
        </is>
      </c>
      <c r="D176" t="inlineStr">
        <is>
          <t>Maine</t>
        </is>
      </c>
      <c r="E176" s="172" t="n">
        <v>3</v>
      </c>
      <c r="F176" s="172" t="n">
        <v>1339057</v>
      </c>
      <c r="G176" s="172" t="n">
        <v>0.224</v>
      </c>
      <c r="H176" s="172" t="n">
        <v>2.2404</v>
      </c>
      <c r="I176" s="172" t="n">
        <v>0</v>
      </c>
      <c r="J176" t="n">
        <v>0</v>
      </c>
      <c r="K176" s="172" t="n">
        <v>1</v>
      </c>
      <c r="L176" t="n">
        <v>0.7468</v>
      </c>
      <c r="M176" s="172" t="n">
        <v>0</v>
      </c>
      <c r="N176" t="n">
        <v>0</v>
      </c>
      <c r="O176" s="172" t="n">
        <v>0</v>
      </c>
      <c r="P176" t="n">
        <v>0</v>
      </c>
      <c r="Q176" s="172" t="n">
        <v>2</v>
      </c>
      <c r="R176" s="172" t="n">
        <v>1</v>
      </c>
      <c r="S176" s="172" t="inlineStr">
        <is>
          <t>Census PEP Vintage 2019</t>
        </is>
      </c>
      <c r="T176" s="172" t="inlineStr">
        <is>
          <t>https://www2.census.gov/programs-surveys/popest/datasets/2010-2019/national/totals/nst-est2019-alldata.csv</t>
        </is>
      </c>
    </row>
    <row r="177">
      <c r="A177" s="172" t="n">
        <v>2018</v>
      </c>
      <c r="B177" t="inlineStr">
        <is>
          <t>MI</t>
        </is>
      </c>
      <c r="C177" t="inlineStr">
        <is>
          <t>26</t>
        </is>
      </c>
      <c r="D177" t="inlineStr">
        <is>
          <t>Michigan</t>
        </is>
      </c>
      <c r="E177" s="172" t="n">
        <v>20</v>
      </c>
      <c r="F177" s="172" t="n">
        <v>9984072</v>
      </c>
      <c r="G177" s="172" t="n">
        <v>0.2003</v>
      </c>
      <c r="H177" s="172" t="n">
        <v>2.0032</v>
      </c>
      <c r="I177" s="172" t="n">
        <v>1</v>
      </c>
      <c r="J177" t="n">
        <v>0.1002</v>
      </c>
      <c r="K177" s="172" t="n">
        <v>15</v>
      </c>
      <c r="L177" t="n">
        <v>1.5024</v>
      </c>
      <c r="M177" s="172" t="n">
        <v>6</v>
      </c>
      <c r="N177" t="n">
        <v>0.601</v>
      </c>
      <c r="O177" s="172" t="n">
        <v>2</v>
      </c>
      <c r="P177" t="n">
        <v>0.2003</v>
      </c>
      <c r="Q177" s="172" t="n">
        <v>17</v>
      </c>
      <c r="R177" s="172" t="n">
        <v>3</v>
      </c>
      <c r="S177" s="172" t="inlineStr">
        <is>
          <t>Census PEP Vintage 2019</t>
        </is>
      </c>
      <c r="T177" s="172" t="inlineStr">
        <is>
          <t>https://www2.census.gov/programs-surveys/popest/datasets/2010-2019/national/totals/nst-est2019-alldata.csv</t>
        </is>
      </c>
    </row>
    <row r="178">
      <c r="A178" s="172" t="n">
        <v>2018</v>
      </c>
      <c r="B178" t="inlineStr">
        <is>
          <t>MN</t>
        </is>
      </c>
      <c r="C178" t="inlineStr">
        <is>
          <t>27</t>
        </is>
      </c>
      <c r="D178" t="inlineStr">
        <is>
          <t>Minnesota</t>
        </is>
      </c>
      <c r="E178" s="172" t="n">
        <v>12</v>
      </c>
      <c r="F178" s="172" t="n">
        <v>5606249</v>
      </c>
      <c r="G178" s="172" t="n">
        <v>0.214</v>
      </c>
      <c r="H178" s="172" t="n">
        <v>2.1405</v>
      </c>
      <c r="I178" s="172" t="n">
        <v>0</v>
      </c>
      <c r="J178" t="n">
        <v>0</v>
      </c>
      <c r="K178" s="172" t="n">
        <v>5</v>
      </c>
      <c r="L178" t="n">
        <v>0.8919</v>
      </c>
      <c r="M178" s="172" t="n">
        <v>4</v>
      </c>
      <c r="N178" t="n">
        <v>0.7135</v>
      </c>
      <c r="O178" s="172" t="n">
        <v>7</v>
      </c>
      <c r="P178" t="n">
        <v>1.2486</v>
      </c>
      <c r="Q178" s="172" t="n">
        <v>12</v>
      </c>
      <c r="R178" s="172" t="n">
        <v>0</v>
      </c>
      <c r="S178" s="172" t="inlineStr">
        <is>
          <t>Census PEP Vintage 2019</t>
        </is>
      </c>
      <c r="T178" s="172" t="inlineStr">
        <is>
          <t>https://www2.census.gov/programs-surveys/popest/datasets/2010-2019/national/totals/nst-est2019-alldata.csv</t>
        </is>
      </c>
    </row>
    <row r="179">
      <c r="A179" s="172" t="n">
        <v>2018</v>
      </c>
      <c r="B179" t="inlineStr">
        <is>
          <t>MO</t>
        </is>
      </c>
      <c r="C179" t="inlineStr">
        <is>
          <t>29</t>
        </is>
      </c>
      <c r="D179" t="inlineStr">
        <is>
          <t>Missouri</t>
        </is>
      </c>
      <c r="E179" s="172" t="n">
        <v>24</v>
      </c>
      <c r="F179" s="172" t="n">
        <v>6121623</v>
      </c>
      <c r="G179" s="172" t="n">
        <v>0.3921</v>
      </c>
      <c r="H179" s="172" t="n">
        <v>3.9205</v>
      </c>
      <c r="I179" s="172" t="n">
        <v>0</v>
      </c>
      <c r="J179" t="n">
        <v>0</v>
      </c>
      <c r="K179" s="172" t="n">
        <v>17</v>
      </c>
      <c r="L179" t="n">
        <v>2.777</v>
      </c>
      <c r="M179" s="172" t="n">
        <v>5</v>
      </c>
      <c r="N179" t="n">
        <v>0.8168</v>
      </c>
      <c r="O179" s="172" t="n">
        <v>0</v>
      </c>
      <c r="P179" t="n">
        <v>0</v>
      </c>
      <c r="Q179" s="172" t="n">
        <v>19</v>
      </c>
      <c r="R179" s="172" t="n">
        <v>5</v>
      </c>
      <c r="S179" s="172" t="inlineStr">
        <is>
          <t>Census PEP Vintage 2019</t>
        </is>
      </c>
      <c r="T179" s="172" t="inlineStr">
        <is>
          <t>https://www2.census.gov/programs-surveys/popest/datasets/2010-2019/national/totals/nst-est2019-alldata.csv</t>
        </is>
      </c>
    </row>
    <row r="180">
      <c r="A180" s="172" t="n">
        <v>2018</v>
      </c>
      <c r="B180" t="inlineStr">
        <is>
          <t>MS</t>
        </is>
      </c>
      <c r="C180" t="inlineStr">
        <is>
          <t>28</t>
        </is>
      </c>
      <c r="D180" t="inlineStr">
        <is>
          <t>Mississippi</t>
        </is>
      </c>
      <c r="E180" s="172" t="n">
        <v>10</v>
      </c>
      <c r="F180" s="172" t="n">
        <v>2981020</v>
      </c>
      <c r="G180" s="172" t="n">
        <v>0.3355</v>
      </c>
      <c r="H180" s="172" t="n">
        <v>3.3546</v>
      </c>
      <c r="I180" s="172" t="n">
        <v>1</v>
      </c>
      <c r="J180" t="n">
        <v>0.3355</v>
      </c>
      <c r="K180" s="172" t="n">
        <v>7</v>
      </c>
      <c r="L180" t="n">
        <v>2.3482</v>
      </c>
      <c r="M180" s="172" t="n">
        <v>0</v>
      </c>
      <c r="N180" t="n">
        <v>0</v>
      </c>
      <c r="O180" s="172" t="n">
        <v>0</v>
      </c>
      <c r="P180" t="n">
        <v>0</v>
      </c>
      <c r="Q180" s="172" t="n">
        <v>9</v>
      </c>
      <c r="R180" s="172" t="n">
        <v>1</v>
      </c>
      <c r="S180" s="172" t="inlineStr">
        <is>
          <t>Census PEP Vintage 2019</t>
        </is>
      </c>
      <c r="T180" s="172" t="inlineStr">
        <is>
          <t>https://www2.census.gov/programs-surveys/popest/datasets/2010-2019/national/totals/nst-est2019-alldata.csv</t>
        </is>
      </c>
    </row>
    <row r="181">
      <c r="A181" s="172" t="n">
        <v>2018</v>
      </c>
      <c r="B181" t="inlineStr">
        <is>
          <t>MT</t>
        </is>
      </c>
      <c r="C181" t="inlineStr">
        <is>
          <t>30</t>
        </is>
      </c>
      <c r="D181" t="inlineStr">
        <is>
          <t>Montana</t>
        </is>
      </c>
      <c r="E181" s="172" t="n">
        <v>6</v>
      </c>
      <c r="F181" s="172" t="n">
        <v>1060665</v>
      </c>
      <c r="G181" s="172" t="n">
        <v>0.5657</v>
      </c>
      <c r="H181" s="172" t="n">
        <v>5.6568</v>
      </c>
      <c r="I181" s="172" t="n">
        <v>0</v>
      </c>
      <c r="J181" t="n">
        <v>0</v>
      </c>
      <c r="K181" s="172" t="n">
        <v>3</v>
      </c>
      <c r="L181" t="n">
        <v>2.8284</v>
      </c>
      <c r="M181" s="172" t="n">
        <v>2</v>
      </c>
      <c r="N181" t="n">
        <v>1.8856</v>
      </c>
      <c r="O181" s="172" t="n">
        <v>1</v>
      </c>
      <c r="P181" t="n">
        <v>0.9428</v>
      </c>
      <c r="Q181" s="172" t="n">
        <v>6</v>
      </c>
      <c r="R181" s="172" t="n">
        <v>0</v>
      </c>
      <c r="S181" s="172" t="inlineStr">
        <is>
          <t>Census PEP Vintage 2019</t>
        </is>
      </c>
      <c r="T181" s="172" t="inlineStr">
        <is>
          <t>https://www2.census.gov/programs-surveys/popest/datasets/2010-2019/national/totals/nst-est2019-alldata.csv</t>
        </is>
      </c>
    </row>
    <row r="182">
      <c r="A182" s="172" t="n">
        <v>2018</v>
      </c>
      <c r="B182" t="inlineStr">
        <is>
          <t>NC</t>
        </is>
      </c>
      <c r="C182" t="inlineStr">
        <is>
          <t>37</t>
        </is>
      </c>
      <c r="D182" t="inlineStr">
        <is>
          <t>North Carolina</t>
        </is>
      </c>
      <c r="E182" s="172" t="n">
        <v>25</v>
      </c>
      <c r="F182" s="172" t="n">
        <v>10381615</v>
      </c>
      <c r="G182" s="172" t="n">
        <v>0.2408</v>
      </c>
      <c r="H182" s="172" t="n">
        <v>2.4081</v>
      </c>
      <c r="I182" s="172" t="n">
        <v>0</v>
      </c>
      <c r="J182" t="n">
        <v>0</v>
      </c>
      <c r="K182" s="172" t="n">
        <v>17</v>
      </c>
      <c r="L182" t="n">
        <v>1.6375</v>
      </c>
      <c r="M182" s="172" t="n">
        <v>6</v>
      </c>
      <c r="N182" t="n">
        <v>0.5779</v>
      </c>
      <c r="O182" s="172" t="n">
        <v>6</v>
      </c>
      <c r="P182" t="n">
        <v>0.5779</v>
      </c>
      <c r="Q182" s="172" t="n">
        <v>25</v>
      </c>
      <c r="R182" s="172" t="n">
        <v>0</v>
      </c>
      <c r="S182" s="172" t="inlineStr">
        <is>
          <t>Census PEP Vintage 2019</t>
        </is>
      </c>
      <c r="T182" s="172" t="inlineStr">
        <is>
          <t>https://www2.census.gov/programs-surveys/popest/datasets/2010-2019/national/totals/nst-est2019-alldata.csv</t>
        </is>
      </c>
    </row>
    <row r="183">
      <c r="A183" s="172" t="n">
        <v>2018</v>
      </c>
      <c r="B183" t="inlineStr">
        <is>
          <t>ND</t>
        </is>
      </c>
      <c r="C183" t="inlineStr">
        <is>
          <t>38</t>
        </is>
      </c>
      <c r="D183" t="inlineStr">
        <is>
          <t>North Dakota</t>
        </is>
      </c>
      <c r="E183" s="172" t="n">
        <v>4</v>
      </c>
      <c r="F183" s="172" t="n">
        <v>758080</v>
      </c>
      <c r="G183" s="172" t="n">
        <v>0.5276</v>
      </c>
      <c r="H183" s="172" t="n">
        <v>5.2765</v>
      </c>
      <c r="I183" s="172" t="n">
        <v>1</v>
      </c>
      <c r="J183" t="n">
        <v>1.3191</v>
      </c>
      <c r="K183" s="172" t="n">
        <v>2</v>
      </c>
      <c r="L183" t="n">
        <v>2.6382</v>
      </c>
      <c r="M183" s="172" t="n">
        <v>1</v>
      </c>
      <c r="N183" t="n">
        <v>1.3191</v>
      </c>
      <c r="O183" s="172" t="n">
        <v>1</v>
      </c>
      <c r="P183" t="n">
        <v>1.3191</v>
      </c>
      <c r="Q183" s="172" t="n">
        <v>4</v>
      </c>
      <c r="R183" s="172" t="n">
        <v>0</v>
      </c>
      <c r="S183" s="172" t="inlineStr">
        <is>
          <t>Census PEP Vintage 2019</t>
        </is>
      </c>
      <c r="T183" s="172" t="inlineStr">
        <is>
          <t>https://www2.census.gov/programs-surveys/popest/datasets/2010-2019/national/totals/nst-est2019-alldata.csv</t>
        </is>
      </c>
    </row>
    <row r="184">
      <c r="A184" s="172" t="n">
        <v>2018</v>
      </c>
      <c r="B184" t="inlineStr">
        <is>
          <t>NE</t>
        </is>
      </c>
      <c r="C184" t="inlineStr">
        <is>
          <t>31</t>
        </is>
      </c>
      <c r="D184" t="inlineStr">
        <is>
          <t>Nebraska</t>
        </is>
      </c>
      <c r="E184" s="172" t="n">
        <v>1</v>
      </c>
      <c r="F184" s="172" t="n">
        <v>1925614</v>
      </c>
      <c r="G184" s="172" t="n">
        <v>0.0519</v>
      </c>
      <c r="H184" s="172" t="n">
        <v>0.5193</v>
      </c>
      <c r="I184" s="172" t="n">
        <v>0</v>
      </c>
      <c r="J184" t="n">
        <v>0</v>
      </c>
      <c r="K184" s="172" t="n">
        <v>0</v>
      </c>
      <c r="L184" t="n">
        <v>0</v>
      </c>
      <c r="M184" s="172" t="n">
        <v>0</v>
      </c>
      <c r="N184" t="n">
        <v>0</v>
      </c>
      <c r="O184" s="172" t="n">
        <v>0</v>
      </c>
      <c r="P184" t="n">
        <v>0</v>
      </c>
      <c r="Q184" s="172" t="n">
        <v>1</v>
      </c>
      <c r="R184" s="172" t="n">
        <v>0</v>
      </c>
      <c r="S184" s="172" t="inlineStr">
        <is>
          <t>Census PEP Vintage 2019</t>
        </is>
      </c>
      <c r="T184" s="172" t="inlineStr">
        <is>
          <t>https://www2.census.gov/programs-surveys/popest/datasets/2010-2019/national/totals/nst-est2019-alldata.csv</t>
        </is>
      </c>
    </row>
    <row r="185">
      <c r="A185" s="172" t="n">
        <v>2018</v>
      </c>
      <c r="B185" t="inlineStr">
        <is>
          <t>NH</t>
        </is>
      </c>
      <c r="C185" t="inlineStr">
        <is>
          <t>33</t>
        </is>
      </c>
      <c r="D185" t="inlineStr">
        <is>
          <t>New Hampshire</t>
        </is>
      </c>
      <c r="E185" s="172" t="n">
        <v>2</v>
      </c>
      <c r="F185" s="172" t="n">
        <v>1353465</v>
      </c>
      <c r="G185" s="172" t="n">
        <v>0.1478</v>
      </c>
      <c r="H185" s="172" t="n">
        <v>1.4777</v>
      </c>
      <c r="I185" s="172" t="n">
        <v>0</v>
      </c>
      <c r="J185" t="n">
        <v>0</v>
      </c>
      <c r="K185" s="172" t="n">
        <v>2</v>
      </c>
      <c r="L185" t="n">
        <v>1.4777</v>
      </c>
      <c r="M185" s="172" t="n">
        <v>0</v>
      </c>
      <c r="N185" t="n">
        <v>0</v>
      </c>
      <c r="O185" s="172" t="n">
        <v>0</v>
      </c>
      <c r="P185" t="n">
        <v>0</v>
      </c>
      <c r="Q185" s="172" t="n">
        <v>2</v>
      </c>
      <c r="R185" s="172" t="n">
        <v>0</v>
      </c>
      <c r="S185" s="172" t="inlineStr">
        <is>
          <t>Census PEP Vintage 2019</t>
        </is>
      </c>
      <c r="T185" s="172" t="inlineStr">
        <is>
          <t>https://www2.census.gov/programs-surveys/popest/datasets/2010-2019/national/totals/nst-est2019-alldata.csv</t>
        </is>
      </c>
    </row>
    <row r="186">
      <c r="A186" s="172" t="n">
        <v>2018</v>
      </c>
      <c r="B186" t="inlineStr">
        <is>
          <t>NJ</t>
        </is>
      </c>
      <c r="C186" t="inlineStr">
        <is>
          <t>34</t>
        </is>
      </c>
      <c r="D186" t="inlineStr">
        <is>
          <t>New Jersey</t>
        </is>
      </c>
      <c r="E186" s="172" t="n">
        <v>12</v>
      </c>
      <c r="F186" s="172" t="n">
        <v>8886025</v>
      </c>
      <c r="G186" s="172" t="n">
        <v>0.135</v>
      </c>
      <c r="H186" s="172" t="n">
        <v>1.3504</v>
      </c>
      <c r="I186" s="172" t="n">
        <v>1</v>
      </c>
      <c r="J186" t="n">
        <v>0.1125</v>
      </c>
      <c r="K186" s="172" t="n">
        <v>3</v>
      </c>
      <c r="L186" t="n">
        <v>0.3376</v>
      </c>
      <c r="M186" s="172" t="n">
        <v>4</v>
      </c>
      <c r="N186" t="n">
        <v>0.4501</v>
      </c>
      <c r="O186" s="172" t="n">
        <v>2</v>
      </c>
      <c r="P186" t="n">
        <v>0.2251</v>
      </c>
      <c r="Q186" s="172" t="n">
        <v>12</v>
      </c>
      <c r="R186" s="172" t="n">
        <v>0</v>
      </c>
      <c r="S186" s="172" t="inlineStr">
        <is>
          <t>Census PEP Vintage 2019</t>
        </is>
      </c>
      <c r="T186" s="172" t="inlineStr">
        <is>
          <t>https://www2.census.gov/programs-surveys/popest/datasets/2010-2019/national/totals/nst-est2019-alldata.csv</t>
        </is>
      </c>
    </row>
    <row r="187">
      <c r="A187" s="172" t="n">
        <v>2018</v>
      </c>
      <c r="B187" t="inlineStr">
        <is>
          <t>NM</t>
        </is>
      </c>
      <c r="C187" t="inlineStr">
        <is>
          <t>35</t>
        </is>
      </c>
      <c r="D187" t="inlineStr">
        <is>
          <t>New Mexico</t>
        </is>
      </c>
      <c r="E187" s="172" t="n">
        <v>20</v>
      </c>
      <c r="F187" s="172" t="n">
        <v>2092741</v>
      </c>
      <c r="G187" s="172" t="n">
        <v>0.9557</v>
      </c>
      <c r="H187" s="172" t="n">
        <v>9.556800000000001</v>
      </c>
      <c r="I187" s="172" t="n">
        <v>2</v>
      </c>
      <c r="J187" t="n">
        <v>0.9557</v>
      </c>
      <c r="K187" s="172" t="n">
        <v>11</v>
      </c>
      <c r="L187" t="n">
        <v>5.2563</v>
      </c>
      <c r="M187" s="172" t="n">
        <v>3</v>
      </c>
      <c r="N187" t="n">
        <v>1.4335</v>
      </c>
      <c r="O187" s="172" t="n">
        <v>0</v>
      </c>
      <c r="P187" t="n">
        <v>0</v>
      </c>
      <c r="Q187" s="172" t="n">
        <v>19</v>
      </c>
      <c r="R187" s="172" t="n">
        <v>1</v>
      </c>
      <c r="S187" s="172" t="inlineStr">
        <is>
          <t>Census PEP Vintage 2019</t>
        </is>
      </c>
      <c r="T187" s="172" t="inlineStr">
        <is>
          <t>https://www2.census.gov/programs-surveys/popest/datasets/2010-2019/national/totals/nst-est2019-alldata.csv</t>
        </is>
      </c>
    </row>
    <row r="188">
      <c r="A188" s="172" t="n">
        <v>2018</v>
      </c>
      <c r="B188" t="inlineStr">
        <is>
          <t>NV</t>
        </is>
      </c>
      <c r="C188" t="inlineStr">
        <is>
          <t>32</t>
        </is>
      </c>
      <c r="D188" t="inlineStr">
        <is>
          <t>Nevada</t>
        </is>
      </c>
      <c r="E188" s="172" t="n">
        <v>23</v>
      </c>
      <c r="F188" s="172" t="n">
        <v>3027341</v>
      </c>
      <c r="G188" s="172" t="n">
        <v>0.7597</v>
      </c>
      <c r="H188" s="172" t="n">
        <v>7.5974</v>
      </c>
      <c r="I188" s="172" t="n">
        <v>0</v>
      </c>
      <c r="J188" t="n">
        <v>0</v>
      </c>
      <c r="K188" s="172" t="n">
        <v>11</v>
      </c>
      <c r="L188" t="n">
        <v>3.6336</v>
      </c>
      <c r="M188" s="172" t="n">
        <v>8</v>
      </c>
      <c r="N188" t="n">
        <v>2.6426</v>
      </c>
      <c r="O188" s="172" t="n">
        <v>12</v>
      </c>
      <c r="P188" t="n">
        <v>3.9639</v>
      </c>
      <c r="Q188" s="172" t="n">
        <v>22</v>
      </c>
      <c r="R188" s="172" t="n">
        <v>1</v>
      </c>
      <c r="S188" s="172" t="inlineStr">
        <is>
          <t>Census PEP Vintage 2019</t>
        </is>
      </c>
      <c r="T188" s="172" t="inlineStr">
        <is>
          <t>https://www2.census.gov/programs-surveys/popest/datasets/2010-2019/national/totals/nst-est2019-alldata.csv</t>
        </is>
      </c>
    </row>
    <row r="189">
      <c r="A189" s="172" t="n">
        <v>2018</v>
      </c>
      <c r="B189" t="inlineStr">
        <is>
          <t>NY</t>
        </is>
      </c>
      <c r="C189" t="inlineStr">
        <is>
          <t>36</t>
        </is>
      </c>
      <c r="D189" t="inlineStr">
        <is>
          <t>New York</t>
        </is>
      </c>
      <c r="E189" s="172" t="n">
        <v>16</v>
      </c>
      <c r="F189" s="172" t="n">
        <v>19530351</v>
      </c>
      <c r="G189" s="172" t="n">
        <v>0.0819</v>
      </c>
      <c r="H189" s="172" t="n">
        <v>0.8192</v>
      </c>
      <c r="I189" s="172" t="n">
        <v>0</v>
      </c>
      <c r="J189" t="n">
        <v>0</v>
      </c>
      <c r="K189" s="172" t="n">
        <v>4</v>
      </c>
      <c r="L189" t="n">
        <v>0.2048</v>
      </c>
      <c r="M189" s="172" t="n">
        <v>7</v>
      </c>
      <c r="N189" t="n">
        <v>0.3584</v>
      </c>
      <c r="O189" s="172" t="n">
        <v>5</v>
      </c>
      <c r="P189" t="n">
        <v>0.256</v>
      </c>
      <c r="Q189" s="172" t="n">
        <v>16</v>
      </c>
      <c r="R189" s="172" t="n">
        <v>0</v>
      </c>
      <c r="S189" s="172" t="inlineStr">
        <is>
          <t>Census PEP Vintage 2019</t>
        </is>
      </c>
      <c r="T189" s="172" t="inlineStr">
        <is>
          <t>https://www2.census.gov/programs-surveys/popest/datasets/2010-2019/national/totals/nst-est2019-alldata.csv</t>
        </is>
      </c>
    </row>
    <row r="190">
      <c r="A190" s="172" t="n">
        <v>2018</v>
      </c>
      <c r="B190" t="inlineStr">
        <is>
          <t>OH</t>
        </is>
      </c>
      <c r="C190" t="inlineStr">
        <is>
          <t>39</t>
        </is>
      </c>
      <c r="D190" t="inlineStr">
        <is>
          <t>Ohio</t>
        </is>
      </c>
      <c r="E190" s="172" t="n">
        <v>31</v>
      </c>
      <c r="F190" s="172" t="n">
        <v>11676341</v>
      </c>
      <c r="G190" s="172" t="n">
        <v>0.2655</v>
      </c>
      <c r="H190" s="172" t="n">
        <v>2.6549</v>
      </c>
      <c r="I190" s="172" t="n">
        <v>3</v>
      </c>
      <c r="J190" t="n">
        <v>0.2569</v>
      </c>
      <c r="K190" s="172" t="n">
        <v>20</v>
      </c>
      <c r="L190" t="n">
        <v>1.7129</v>
      </c>
      <c r="M190" s="172" t="n">
        <v>7</v>
      </c>
      <c r="N190" t="n">
        <v>0.5995</v>
      </c>
      <c r="O190" s="172" t="n">
        <v>3</v>
      </c>
      <c r="P190" t="n">
        <v>0.2569</v>
      </c>
      <c r="Q190" s="172" t="n">
        <v>30</v>
      </c>
      <c r="R190" s="172" t="n">
        <v>1</v>
      </c>
      <c r="S190" s="172" t="inlineStr">
        <is>
          <t>Census PEP Vintage 2019</t>
        </is>
      </c>
      <c r="T190" s="172" t="inlineStr">
        <is>
          <t>https://www2.census.gov/programs-surveys/popest/datasets/2010-2019/national/totals/nst-est2019-alldata.csv</t>
        </is>
      </c>
    </row>
    <row r="191">
      <c r="A191" s="172" t="n">
        <v>2018</v>
      </c>
      <c r="B191" t="inlineStr">
        <is>
          <t>OK</t>
        </is>
      </c>
      <c r="C191" t="inlineStr">
        <is>
          <t>40</t>
        </is>
      </c>
      <c r="D191" t="inlineStr">
        <is>
          <t>Oklahoma</t>
        </is>
      </c>
      <c r="E191" s="172" t="n">
        <v>33</v>
      </c>
      <c r="F191" s="172" t="n">
        <v>3940235</v>
      </c>
      <c r="G191" s="172" t="n">
        <v>0.8375</v>
      </c>
      <c r="H191" s="172" t="n">
        <v>8.3751</v>
      </c>
      <c r="I191" s="172" t="n">
        <v>4</v>
      </c>
      <c r="J191" t="n">
        <v>1.0152</v>
      </c>
      <c r="K191" s="172" t="n">
        <v>18</v>
      </c>
      <c r="L191" t="n">
        <v>4.5683</v>
      </c>
      <c r="M191" s="172" t="n">
        <v>6</v>
      </c>
      <c r="N191" t="n">
        <v>1.5228</v>
      </c>
      <c r="O191" s="172" t="n">
        <v>3</v>
      </c>
      <c r="P191" t="n">
        <v>0.7614</v>
      </c>
      <c r="Q191" s="172" t="n">
        <v>32</v>
      </c>
      <c r="R191" s="172" t="n">
        <v>1</v>
      </c>
      <c r="S191" s="172" t="inlineStr">
        <is>
          <t>Census PEP Vintage 2019</t>
        </is>
      </c>
      <c r="T191" s="172" t="inlineStr">
        <is>
          <t>https://www2.census.gov/programs-surveys/popest/datasets/2010-2019/national/totals/nst-est2019-alldata.csv</t>
        </is>
      </c>
    </row>
    <row r="192">
      <c r="A192" s="172" t="n">
        <v>2018</v>
      </c>
      <c r="B192" t="inlineStr">
        <is>
          <t>OR</t>
        </is>
      </c>
      <c r="C192" t="inlineStr">
        <is>
          <t>41</t>
        </is>
      </c>
      <c r="D192" t="inlineStr">
        <is>
          <t>Oregon</t>
        </is>
      </c>
      <c r="E192" s="172" t="n">
        <v>16</v>
      </c>
      <c r="F192" s="172" t="n">
        <v>4181886</v>
      </c>
      <c r="G192" s="172" t="n">
        <v>0.3826</v>
      </c>
      <c r="H192" s="172" t="n">
        <v>3.826</v>
      </c>
      <c r="I192" s="172" t="n">
        <v>1</v>
      </c>
      <c r="J192" t="n">
        <v>0.2391</v>
      </c>
      <c r="K192" s="172" t="n">
        <v>10</v>
      </c>
      <c r="L192" t="n">
        <v>2.3913</v>
      </c>
      <c r="M192" s="172" t="n">
        <v>3</v>
      </c>
      <c r="N192" t="n">
        <v>0.7174</v>
      </c>
      <c r="O192" s="172" t="n">
        <v>1</v>
      </c>
      <c r="P192" t="n">
        <v>0.2391</v>
      </c>
      <c r="Q192" s="172" t="n">
        <v>15</v>
      </c>
      <c r="R192" s="172" t="n">
        <v>1</v>
      </c>
      <c r="S192" s="172" t="inlineStr">
        <is>
          <t>Census PEP Vintage 2019</t>
        </is>
      </c>
      <c r="T192" s="172" t="inlineStr">
        <is>
          <t>https://www2.census.gov/programs-surveys/popest/datasets/2010-2019/national/totals/nst-est2019-alldata.csv</t>
        </is>
      </c>
    </row>
    <row r="193">
      <c r="A193" s="172" t="n">
        <v>2018</v>
      </c>
      <c r="B193" t="inlineStr">
        <is>
          <t>PA</t>
        </is>
      </c>
      <c r="C193" t="inlineStr">
        <is>
          <t>42</t>
        </is>
      </c>
      <c r="D193" t="inlineStr">
        <is>
          <t>Pennsylvania</t>
        </is>
      </c>
      <c r="E193" s="172" t="n">
        <v>23</v>
      </c>
      <c r="F193" s="172" t="n">
        <v>12800922</v>
      </c>
      <c r="G193" s="172" t="n">
        <v>0.1797</v>
      </c>
      <c r="H193" s="172" t="n">
        <v>1.7967</v>
      </c>
      <c r="I193" s="172" t="n">
        <v>3</v>
      </c>
      <c r="J193" t="n">
        <v>0.2344</v>
      </c>
      <c r="K193" s="172" t="n">
        <v>13</v>
      </c>
      <c r="L193" t="n">
        <v>1.0156</v>
      </c>
      <c r="M193" s="172" t="n">
        <v>2</v>
      </c>
      <c r="N193" t="n">
        <v>0.1562</v>
      </c>
      <c r="O193" s="172" t="n">
        <v>0</v>
      </c>
      <c r="P193" t="n">
        <v>0</v>
      </c>
      <c r="Q193" s="172" t="n">
        <v>21</v>
      </c>
      <c r="R193" s="172" t="n">
        <v>2</v>
      </c>
      <c r="S193" s="172" t="inlineStr">
        <is>
          <t>Census PEP Vintage 2019</t>
        </is>
      </c>
      <c r="T193" s="172" t="inlineStr">
        <is>
          <t>https://www2.census.gov/programs-surveys/popest/datasets/2010-2019/national/totals/nst-est2019-alldata.csv</t>
        </is>
      </c>
    </row>
    <row r="194">
      <c r="A194" s="172" t="n">
        <v>2018</v>
      </c>
      <c r="B194" t="inlineStr">
        <is>
          <t>RI</t>
        </is>
      </c>
      <c r="C194" t="inlineStr">
        <is>
          <t>44</t>
        </is>
      </c>
      <c r="D194" t="inlineStr">
        <is>
          <t>Rhode Island</t>
        </is>
      </c>
      <c r="E194" s="172" t="n">
        <v>1</v>
      </c>
      <c r="F194" s="172" t="n">
        <v>1058287</v>
      </c>
      <c r="G194" s="172" t="n">
        <v>0.0945</v>
      </c>
      <c r="H194" s="172" t="n">
        <v>0.9449</v>
      </c>
      <c r="I194" s="172" t="n">
        <v>0</v>
      </c>
      <c r="J194" t="n">
        <v>0</v>
      </c>
      <c r="K194" s="172" t="n">
        <v>1</v>
      </c>
      <c r="L194" t="n">
        <v>0.9449</v>
      </c>
      <c r="M194" s="172" t="n">
        <v>0</v>
      </c>
      <c r="N194" t="n">
        <v>0</v>
      </c>
      <c r="O194" s="172" t="n">
        <v>0</v>
      </c>
      <c r="P194" t="n">
        <v>0</v>
      </c>
      <c r="Q194" s="172" t="n">
        <v>1</v>
      </c>
      <c r="R194" s="172" t="n">
        <v>0</v>
      </c>
      <c r="S194" s="172" t="inlineStr">
        <is>
          <t>Census PEP Vintage 2019</t>
        </is>
      </c>
      <c r="T194" s="172" t="inlineStr">
        <is>
          <t>https://www2.census.gov/programs-surveys/popest/datasets/2010-2019/national/totals/nst-est2019-alldata.csv</t>
        </is>
      </c>
    </row>
    <row r="195">
      <c r="A195" s="172" t="n">
        <v>2018</v>
      </c>
      <c r="B195" t="inlineStr">
        <is>
          <t>SC</t>
        </is>
      </c>
      <c r="C195" t="inlineStr">
        <is>
          <t>45</t>
        </is>
      </c>
      <c r="D195" t="inlineStr">
        <is>
          <t>South Carolina</t>
        </is>
      </c>
      <c r="E195" s="172" t="n">
        <v>12</v>
      </c>
      <c r="F195" s="172" t="n">
        <v>5084156</v>
      </c>
      <c r="G195" s="172" t="n">
        <v>0.236</v>
      </c>
      <c r="H195" s="172" t="n">
        <v>2.3603</v>
      </c>
      <c r="I195" s="172" t="n">
        <v>0</v>
      </c>
      <c r="J195" t="n">
        <v>0</v>
      </c>
      <c r="K195" s="172" t="n">
        <v>7</v>
      </c>
      <c r="L195" t="n">
        <v>1.3768</v>
      </c>
      <c r="M195" s="172" t="n">
        <v>5</v>
      </c>
      <c r="N195" t="n">
        <v>0.9834000000000001</v>
      </c>
      <c r="O195" s="172" t="n">
        <v>3</v>
      </c>
      <c r="P195" t="n">
        <v>0.5901</v>
      </c>
      <c r="Q195" s="172" t="n">
        <v>12</v>
      </c>
      <c r="R195" s="172" t="n">
        <v>0</v>
      </c>
      <c r="S195" s="172" t="inlineStr">
        <is>
          <t>Census PEP Vintage 2019</t>
        </is>
      </c>
      <c r="T195" s="172" t="inlineStr">
        <is>
          <t>https://www2.census.gov/programs-surveys/popest/datasets/2010-2019/national/totals/nst-est2019-alldata.csv</t>
        </is>
      </c>
    </row>
    <row r="196">
      <c r="A196" s="172" t="n">
        <v>2018</v>
      </c>
      <c r="B196" t="inlineStr">
        <is>
          <t>SD</t>
        </is>
      </c>
      <c r="C196" t="inlineStr">
        <is>
          <t>46</t>
        </is>
      </c>
      <c r="D196" t="inlineStr">
        <is>
          <t>South Dakota</t>
        </is>
      </c>
      <c r="E196" s="172" t="n">
        <v>3</v>
      </c>
      <c r="F196" s="172" t="n">
        <v>878698</v>
      </c>
      <c r="G196" s="172" t="n">
        <v>0.3414</v>
      </c>
      <c r="H196" s="172" t="n">
        <v>3.4141</v>
      </c>
      <c r="I196" s="172" t="n">
        <v>0</v>
      </c>
      <c r="J196" t="n">
        <v>0</v>
      </c>
      <c r="K196" s="172" t="n">
        <v>1</v>
      </c>
      <c r="L196" t="n">
        <v>1.138</v>
      </c>
      <c r="M196" s="172" t="n">
        <v>1</v>
      </c>
      <c r="N196" t="n">
        <v>1.138</v>
      </c>
      <c r="O196" s="172" t="n">
        <v>0</v>
      </c>
      <c r="P196" t="n">
        <v>0</v>
      </c>
      <c r="Q196" s="172" t="n">
        <v>2</v>
      </c>
      <c r="R196" s="172" t="n">
        <v>1</v>
      </c>
      <c r="S196" s="172" t="inlineStr">
        <is>
          <t>Census PEP Vintage 2019</t>
        </is>
      </c>
      <c r="T196" s="172" t="inlineStr">
        <is>
          <t>https://www2.census.gov/programs-surveys/popest/datasets/2010-2019/national/totals/nst-est2019-alldata.csv</t>
        </is>
      </c>
    </row>
    <row r="197">
      <c r="A197" s="172" t="n">
        <v>2018</v>
      </c>
      <c r="B197" t="inlineStr">
        <is>
          <t>TN</t>
        </is>
      </c>
      <c r="C197" t="inlineStr">
        <is>
          <t>47</t>
        </is>
      </c>
      <c r="D197" t="inlineStr">
        <is>
          <t>Tennessee</t>
        </is>
      </c>
      <c r="E197" s="172" t="n">
        <v>25</v>
      </c>
      <c r="F197" s="172" t="n">
        <v>6771631</v>
      </c>
      <c r="G197" s="172" t="n">
        <v>0.3692</v>
      </c>
      <c r="H197" s="172" t="n">
        <v>3.6919</v>
      </c>
      <c r="I197" s="172" t="n">
        <v>0</v>
      </c>
      <c r="J197" t="n">
        <v>0</v>
      </c>
      <c r="K197" s="172" t="n">
        <v>15</v>
      </c>
      <c r="L197" t="n">
        <v>2.2151</v>
      </c>
      <c r="M197" s="172" t="n">
        <v>8</v>
      </c>
      <c r="N197" t="n">
        <v>1.1814</v>
      </c>
      <c r="O197" s="172" t="n">
        <v>1</v>
      </c>
      <c r="P197" t="n">
        <v>0.1477</v>
      </c>
      <c r="Q197" s="172" t="n">
        <v>24</v>
      </c>
      <c r="R197" s="172" t="n">
        <v>1</v>
      </c>
      <c r="S197" s="172" t="inlineStr">
        <is>
          <t>Census PEP Vintage 2019</t>
        </is>
      </c>
      <c r="T197" s="172" t="inlineStr">
        <is>
          <t>https://www2.census.gov/programs-surveys/popest/datasets/2010-2019/national/totals/nst-est2019-alldata.csv</t>
        </is>
      </c>
    </row>
    <row r="198">
      <c r="A198" s="172" t="n">
        <v>2018</v>
      </c>
      <c r="B198" t="inlineStr">
        <is>
          <t>TX</t>
        </is>
      </c>
      <c r="C198" t="inlineStr">
        <is>
          <t>48</t>
        </is>
      </c>
      <c r="D198" t="inlineStr">
        <is>
          <t>Texas</t>
        </is>
      </c>
      <c r="E198" s="172" t="n">
        <v>83</v>
      </c>
      <c r="F198" s="172" t="n">
        <v>28628666</v>
      </c>
      <c r="G198" s="172" t="n">
        <v>0.2899</v>
      </c>
      <c r="H198" s="172" t="n">
        <v>2.8992</v>
      </c>
      <c r="I198" s="172" t="n">
        <v>8</v>
      </c>
      <c r="J198" t="n">
        <v>0.2794</v>
      </c>
      <c r="K198" s="172" t="n">
        <v>45</v>
      </c>
      <c r="L198" t="n">
        <v>1.5719</v>
      </c>
      <c r="M198" s="172" t="n">
        <v>14</v>
      </c>
      <c r="N198" t="n">
        <v>0.489</v>
      </c>
      <c r="O198" s="172" t="n">
        <v>6</v>
      </c>
      <c r="P198" t="n">
        <v>0.2096</v>
      </c>
      <c r="Q198" s="172" t="n">
        <v>82</v>
      </c>
      <c r="R198" s="172" t="n">
        <v>1</v>
      </c>
      <c r="S198" s="172" t="inlineStr">
        <is>
          <t>Census PEP Vintage 2019</t>
        </is>
      </c>
      <c r="T198" s="172" t="inlineStr">
        <is>
          <t>https://www2.census.gov/programs-surveys/popest/datasets/2010-2019/national/totals/nst-est2019-alldata.csv</t>
        </is>
      </c>
    </row>
    <row r="199">
      <c r="A199" s="172" t="n">
        <v>2018</v>
      </c>
      <c r="B199" t="inlineStr">
        <is>
          <t>UT</t>
        </is>
      </c>
      <c r="C199" t="inlineStr">
        <is>
          <t>49</t>
        </is>
      </c>
      <c r="D199" t="inlineStr">
        <is>
          <t>Utah</t>
        </is>
      </c>
      <c r="E199" s="172" t="n">
        <v>19</v>
      </c>
      <c r="F199" s="172" t="n">
        <v>3153550</v>
      </c>
      <c r="G199" s="172" t="n">
        <v>0.6025</v>
      </c>
      <c r="H199" s="172" t="n">
        <v>6.025</v>
      </c>
      <c r="I199" s="172" t="n">
        <v>1</v>
      </c>
      <c r="J199" t="n">
        <v>0.3171</v>
      </c>
      <c r="K199" s="172" t="n">
        <v>6</v>
      </c>
      <c r="L199" t="n">
        <v>1.9026</v>
      </c>
      <c r="M199" s="172" t="n">
        <v>5</v>
      </c>
      <c r="N199" t="n">
        <v>1.5855</v>
      </c>
      <c r="O199" s="172" t="n">
        <v>4</v>
      </c>
      <c r="P199" t="n">
        <v>1.2684</v>
      </c>
      <c r="Q199" s="172" t="n">
        <v>19</v>
      </c>
      <c r="R199" s="172" t="n">
        <v>0</v>
      </c>
      <c r="S199" s="172" t="inlineStr">
        <is>
          <t>Census PEP Vintage 2019</t>
        </is>
      </c>
      <c r="T199" s="172" t="inlineStr">
        <is>
          <t>https://www2.census.gov/programs-surveys/popest/datasets/2010-2019/national/totals/nst-est2019-alldata.csv</t>
        </is>
      </c>
    </row>
    <row r="200">
      <c r="A200" s="172" t="n">
        <v>2018</v>
      </c>
      <c r="B200" t="inlineStr">
        <is>
          <t>VA</t>
        </is>
      </c>
      <c r="C200" t="inlineStr">
        <is>
          <t>51</t>
        </is>
      </c>
      <c r="D200" t="inlineStr">
        <is>
          <t>Virginia</t>
        </is>
      </c>
      <c r="E200" s="172" t="n">
        <v>18</v>
      </c>
      <c r="F200" s="172" t="n">
        <v>8501286</v>
      </c>
      <c r="G200" s="172" t="n">
        <v>0.2117</v>
      </c>
      <c r="H200" s="172" t="n">
        <v>2.1173</v>
      </c>
      <c r="I200" s="172" t="n">
        <v>3</v>
      </c>
      <c r="J200" t="n">
        <v>0.3529</v>
      </c>
      <c r="K200" s="172" t="n">
        <v>10</v>
      </c>
      <c r="L200" t="n">
        <v>1.1763</v>
      </c>
      <c r="M200" s="172" t="n">
        <v>2</v>
      </c>
      <c r="N200" t="n">
        <v>0.2353</v>
      </c>
      <c r="O200" s="172" t="n">
        <v>2</v>
      </c>
      <c r="P200" t="n">
        <v>0.2353</v>
      </c>
      <c r="Q200" s="172" t="n">
        <v>18</v>
      </c>
      <c r="R200" s="172" t="n">
        <v>0</v>
      </c>
      <c r="S200" s="172" t="inlineStr">
        <is>
          <t>Census PEP Vintage 2019</t>
        </is>
      </c>
      <c r="T200" s="172" t="inlineStr">
        <is>
          <t>https://www2.census.gov/programs-surveys/popest/datasets/2010-2019/national/totals/nst-est2019-alldata.csv</t>
        </is>
      </c>
    </row>
    <row r="201">
      <c r="A201" s="172" t="n">
        <v>2018</v>
      </c>
      <c r="B201" t="inlineStr">
        <is>
          <t>VT</t>
        </is>
      </c>
      <c r="C201" t="inlineStr">
        <is>
          <t>50</t>
        </is>
      </c>
      <c r="D201" t="inlineStr">
        <is>
          <t>Vermont</t>
        </is>
      </c>
      <c r="E201" s="172" t="n">
        <v>2</v>
      </c>
      <c r="F201" s="172" t="n">
        <v>624358</v>
      </c>
      <c r="G201" s="172" t="n">
        <v>0.3203</v>
      </c>
      <c r="H201" s="172" t="n">
        <v>3.2033</v>
      </c>
      <c r="I201" s="172" t="n">
        <v>0</v>
      </c>
      <c r="J201" t="n">
        <v>0</v>
      </c>
      <c r="K201" s="172" t="n">
        <v>1</v>
      </c>
      <c r="L201" t="n">
        <v>1.6016</v>
      </c>
      <c r="M201" s="172" t="n">
        <v>2</v>
      </c>
      <c r="N201" t="n">
        <v>3.2033</v>
      </c>
      <c r="O201" s="172" t="n">
        <v>0</v>
      </c>
      <c r="P201" t="n">
        <v>0</v>
      </c>
      <c r="Q201" s="172" t="n">
        <v>2</v>
      </c>
      <c r="R201" s="172" t="n">
        <v>0</v>
      </c>
      <c r="S201" s="172" t="inlineStr">
        <is>
          <t>Census PEP Vintage 2019</t>
        </is>
      </c>
      <c r="T201" s="172" t="inlineStr">
        <is>
          <t>https://www2.census.gov/programs-surveys/popest/datasets/2010-2019/national/totals/nst-est2019-alldata.csv</t>
        </is>
      </c>
    </row>
    <row r="202">
      <c r="A202" s="172" t="n">
        <v>2018</v>
      </c>
      <c r="B202" t="inlineStr">
        <is>
          <t>WA</t>
        </is>
      </c>
      <c r="C202" t="inlineStr">
        <is>
          <t>53</t>
        </is>
      </c>
      <c r="D202" t="inlineStr">
        <is>
          <t>Washington</t>
        </is>
      </c>
      <c r="E202" s="172" t="n">
        <v>23</v>
      </c>
      <c r="F202" s="172" t="n">
        <v>7523869</v>
      </c>
      <c r="G202" s="172" t="n">
        <v>0.3057</v>
      </c>
      <c r="H202" s="172" t="n">
        <v>3.0569</v>
      </c>
      <c r="I202" s="172" t="n">
        <v>1</v>
      </c>
      <c r="J202" t="n">
        <v>0.1329</v>
      </c>
      <c r="K202" s="172" t="n">
        <v>13</v>
      </c>
      <c r="L202" t="n">
        <v>1.7278</v>
      </c>
      <c r="M202" s="172" t="n">
        <v>7</v>
      </c>
      <c r="N202" t="n">
        <v>0.9304</v>
      </c>
      <c r="O202" s="172" t="n">
        <v>1</v>
      </c>
      <c r="P202" t="n">
        <v>0.1329</v>
      </c>
      <c r="Q202" s="172" t="n">
        <v>19</v>
      </c>
      <c r="R202" s="172" t="n">
        <v>4</v>
      </c>
      <c r="S202" s="172" t="inlineStr">
        <is>
          <t>Census PEP Vintage 2019</t>
        </is>
      </c>
      <c r="T202" s="172" t="inlineStr">
        <is>
          <t>https://www2.census.gov/programs-surveys/popest/datasets/2010-2019/national/totals/nst-est2019-alldata.csv</t>
        </is>
      </c>
    </row>
    <row r="203">
      <c r="A203" s="172" t="n">
        <v>2018</v>
      </c>
      <c r="B203" t="inlineStr">
        <is>
          <t>WI</t>
        </is>
      </c>
      <c r="C203" t="inlineStr">
        <is>
          <t>55</t>
        </is>
      </c>
      <c r="D203" t="inlineStr">
        <is>
          <t>Wisconsin</t>
        </is>
      </c>
      <c r="E203" s="172" t="n">
        <v>13</v>
      </c>
      <c r="F203" s="172" t="n">
        <v>5807406</v>
      </c>
      <c r="G203" s="172" t="n">
        <v>0.2239</v>
      </c>
      <c r="H203" s="172" t="n">
        <v>2.2385</v>
      </c>
      <c r="I203" s="172" t="n">
        <v>0</v>
      </c>
      <c r="J203" t="n">
        <v>0</v>
      </c>
      <c r="K203" s="172" t="n">
        <v>8</v>
      </c>
      <c r="L203" t="n">
        <v>1.3776</v>
      </c>
      <c r="M203" s="172" t="n">
        <v>5</v>
      </c>
      <c r="N203" t="n">
        <v>0.861</v>
      </c>
      <c r="O203" s="172" t="n">
        <v>4</v>
      </c>
      <c r="P203" t="n">
        <v>0.6888</v>
      </c>
      <c r="Q203" s="172" t="n">
        <v>13</v>
      </c>
      <c r="R203" s="172" t="n">
        <v>0</v>
      </c>
      <c r="S203" s="172" t="inlineStr">
        <is>
          <t>Census PEP Vintage 2019</t>
        </is>
      </c>
      <c r="T203" s="172" t="inlineStr">
        <is>
          <t>https://www2.census.gov/programs-surveys/popest/datasets/2010-2019/national/totals/nst-est2019-alldata.csv</t>
        </is>
      </c>
    </row>
    <row r="204">
      <c r="A204" s="172" t="n">
        <v>2018</v>
      </c>
      <c r="B204" t="inlineStr">
        <is>
          <t>WV</t>
        </is>
      </c>
      <c r="C204" t="inlineStr">
        <is>
          <t>54</t>
        </is>
      </c>
      <c r="D204" t="inlineStr">
        <is>
          <t>West Virginia</t>
        </is>
      </c>
      <c r="E204" s="172" t="n">
        <v>7</v>
      </c>
      <c r="F204" s="172" t="n">
        <v>1804291</v>
      </c>
      <c r="G204" s="172" t="n">
        <v>0.388</v>
      </c>
      <c r="H204" s="172" t="n">
        <v>3.8796</v>
      </c>
      <c r="I204" s="172" t="n">
        <v>0</v>
      </c>
      <c r="J204" t="n">
        <v>0</v>
      </c>
      <c r="K204" s="172" t="n">
        <v>4</v>
      </c>
      <c r="L204" t="n">
        <v>2.2169</v>
      </c>
      <c r="M204" s="172" t="n">
        <v>2</v>
      </c>
      <c r="N204" t="n">
        <v>1.1085</v>
      </c>
      <c r="O204" s="172" t="n">
        <v>2</v>
      </c>
      <c r="P204" t="n">
        <v>1.1085</v>
      </c>
      <c r="Q204" s="172" t="n">
        <v>6</v>
      </c>
      <c r="R204" s="172" t="n">
        <v>1</v>
      </c>
      <c r="S204" s="172" t="inlineStr">
        <is>
          <t>Census PEP Vintage 2019</t>
        </is>
      </c>
      <c r="T204" s="172" t="inlineStr">
        <is>
          <t>https://www2.census.gov/programs-surveys/popest/datasets/2010-2019/national/totals/nst-est2019-alldata.csv</t>
        </is>
      </c>
    </row>
    <row r="205">
      <c r="A205" s="172" t="n">
        <v>2018</v>
      </c>
      <c r="B205" t="inlineStr">
        <is>
          <t>WY</t>
        </is>
      </c>
      <c r="C205" t="inlineStr">
        <is>
          <t>56</t>
        </is>
      </c>
      <c r="D205" t="inlineStr">
        <is>
          <t>Wyoming</t>
        </is>
      </c>
      <c r="E205" s="172" t="n">
        <v>4</v>
      </c>
      <c r="F205" s="172" t="n">
        <v>577601</v>
      </c>
      <c r="G205" s="172" t="n">
        <v>0.6925</v>
      </c>
      <c r="H205" s="172" t="n">
        <v>6.9252</v>
      </c>
      <c r="I205" s="172" t="n">
        <v>1</v>
      </c>
      <c r="J205" t="n">
        <v>1.7313</v>
      </c>
      <c r="K205" s="172" t="n">
        <v>2</v>
      </c>
      <c r="L205" t="n">
        <v>3.4626</v>
      </c>
      <c r="M205" s="172" t="n">
        <v>2</v>
      </c>
      <c r="N205" t="n">
        <v>3.4626</v>
      </c>
      <c r="O205" s="172" t="n">
        <v>0</v>
      </c>
      <c r="P205" t="n">
        <v>0</v>
      </c>
      <c r="Q205" s="172" t="n">
        <v>4</v>
      </c>
      <c r="R205" s="172" t="n">
        <v>0</v>
      </c>
      <c r="S205" s="172" t="inlineStr">
        <is>
          <t>Census PEP Vintage 2019</t>
        </is>
      </c>
      <c r="T205" s="172" t="inlineStr">
        <is>
          <t>https://www2.census.gov/programs-surveys/popest/datasets/2010-2019/national/totals/nst-est2019-alldata.csv</t>
        </is>
      </c>
    </row>
    <row r="206">
      <c r="A206" s="172" t="n">
        <v>2019</v>
      </c>
      <c r="B206" t="inlineStr">
        <is>
          <t>AK</t>
        </is>
      </c>
      <c r="C206" t="inlineStr">
        <is>
          <t>02</t>
        </is>
      </c>
      <c r="D206" t="inlineStr">
        <is>
          <t>Alaska</t>
        </is>
      </c>
      <c r="E206" s="172" t="n">
        <v>7</v>
      </c>
      <c r="F206" s="172" t="n">
        <v>731545</v>
      </c>
      <c r="G206" s="172" t="n">
        <v>0.9569</v>
      </c>
      <c r="H206" s="172" t="n">
        <v>9.5688</v>
      </c>
      <c r="I206" s="172" t="n">
        <v>0</v>
      </c>
      <c r="J206" t="n">
        <v>0</v>
      </c>
      <c r="K206" s="172" t="n">
        <v>5</v>
      </c>
      <c r="L206" t="n">
        <v>6.8348</v>
      </c>
      <c r="M206" s="172" t="n">
        <v>2</v>
      </c>
      <c r="N206" t="n">
        <v>2.7339</v>
      </c>
      <c r="O206" s="172" t="n">
        <v>0</v>
      </c>
      <c r="P206" t="n">
        <v>0</v>
      </c>
      <c r="Q206" s="172" t="n">
        <v>7</v>
      </c>
      <c r="R206" s="172" t="n">
        <v>0</v>
      </c>
      <c r="S206" s="172" t="inlineStr">
        <is>
          <t>Census PEP Vintage 2019</t>
        </is>
      </c>
      <c r="T206" s="172" t="inlineStr">
        <is>
          <t>https://www2.census.gov/programs-surveys/popest/datasets/2010-2019/national/totals/nst-est2019-alldata.csv</t>
        </is>
      </c>
    </row>
    <row r="207">
      <c r="A207" s="172" t="n">
        <v>2019</v>
      </c>
      <c r="B207" t="inlineStr">
        <is>
          <t>AL</t>
        </is>
      </c>
      <c r="C207" t="inlineStr">
        <is>
          <t>01</t>
        </is>
      </c>
      <c r="D207" t="inlineStr">
        <is>
          <t>Alabama</t>
        </is>
      </c>
      <c r="E207" s="172" t="n">
        <v>11</v>
      </c>
      <c r="F207" s="172" t="n">
        <v>4903185</v>
      </c>
      <c r="G207" s="172" t="n">
        <v>0.2243</v>
      </c>
      <c r="H207" s="172" t="n">
        <v>2.2434</v>
      </c>
      <c r="I207" s="172" t="n">
        <v>0</v>
      </c>
      <c r="J207" t="n">
        <v>0</v>
      </c>
      <c r="K207" s="172" t="n">
        <v>10</v>
      </c>
      <c r="L207" t="n">
        <v>2.0395</v>
      </c>
      <c r="M207" s="172" t="n">
        <v>6</v>
      </c>
      <c r="N207" t="n">
        <v>1.2237</v>
      </c>
      <c r="O207" s="172" t="n">
        <v>1</v>
      </c>
      <c r="P207" t="n">
        <v>0.2039</v>
      </c>
      <c r="Q207" s="172" t="n">
        <v>11</v>
      </c>
      <c r="R207" s="172" t="n">
        <v>0</v>
      </c>
      <c r="S207" s="172" t="inlineStr">
        <is>
          <t>Census PEP Vintage 2019</t>
        </is>
      </c>
      <c r="T207" s="172" t="inlineStr">
        <is>
          <t>https://www2.census.gov/programs-surveys/popest/datasets/2010-2019/national/totals/nst-est2019-alldata.csv</t>
        </is>
      </c>
    </row>
    <row r="208">
      <c r="A208" s="172" t="n">
        <v>2019</v>
      </c>
      <c r="B208" t="inlineStr">
        <is>
          <t>AR</t>
        </is>
      </c>
      <c r="C208" t="inlineStr">
        <is>
          <t>05</t>
        </is>
      </c>
      <c r="D208" t="inlineStr">
        <is>
          <t>Arkansas</t>
        </is>
      </c>
      <c r="E208" s="172" t="n">
        <v>21</v>
      </c>
      <c r="F208" s="172" t="n">
        <v>3017804</v>
      </c>
      <c r="G208" s="172" t="n">
        <v>0.6959</v>
      </c>
      <c r="H208" s="172" t="n">
        <v>6.9587</v>
      </c>
      <c r="I208" s="172" t="n">
        <v>1</v>
      </c>
      <c r="J208" t="n">
        <v>0.3314</v>
      </c>
      <c r="K208" s="172" t="n">
        <v>14</v>
      </c>
      <c r="L208" t="n">
        <v>4.6391</v>
      </c>
      <c r="M208" s="172" t="n">
        <v>5</v>
      </c>
      <c r="N208" t="n">
        <v>1.6568</v>
      </c>
      <c r="O208" s="172" t="n">
        <v>2</v>
      </c>
      <c r="P208" t="n">
        <v>0.6627</v>
      </c>
      <c r="Q208" s="172" t="n">
        <v>17</v>
      </c>
      <c r="R208" s="172" t="n">
        <v>4</v>
      </c>
      <c r="S208" s="172" t="inlineStr">
        <is>
          <t>Census PEP Vintage 2019</t>
        </is>
      </c>
      <c r="T208" s="172" t="inlineStr">
        <is>
          <t>https://www2.census.gov/programs-surveys/popest/datasets/2010-2019/national/totals/nst-est2019-alldata.csv</t>
        </is>
      </c>
    </row>
    <row r="209">
      <c r="A209" s="172" t="n">
        <v>2019</v>
      </c>
      <c r="B209" t="inlineStr">
        <is>
          <t>AZ</t>
        </is>
      </c>
      <c r="C209" t="inlineStr">
        <is>
          <t>04</t>
        </is>
      </c>
      <c r="D209" t="inlineStr">
        <is>
          <t>Arizona</t>
        </is>
      </c>
      <c r="E209" s="172" t="n">
        <v>35</v>
      </c>
      <c r="F209" s="172" t="n">
        <v>7278717</v>
      </c>
      <c r="G209" s="172" t="n">
        <v>0.4809</v>
      </c>
      <c r="H209" s="172" t="n">
        <v>4.8085</v>
      </c>
      <c r="I209" s="172" t="n">
        <v>3</v>
      </c>
      <c r="J209" t="n">
        <v>0.4122</v>
      </c>
      <c r="K209" s="172" t="n">
        <v>21</v>
      </c>
      <c r="L209" t="n">
        <v>2.8851</v>
      </c>
      <c r="M209" s="172" t="n">
        <v>4</v>
      </c>
      <c r="N209" t="n">
        <v>0.5495</v>
      </c>
      <c r="O209" s="172" t="n">
        <v>4</v>
      </c>
      <c r="P209" t="n">
        <v>0.5495</v>
      </c>
      <c r="Q209" s="172" t="n">
        <v>32</v>
      </c>
      <c r="R209" s="172" t="n">
        <v>3</v>
      </c>
      <c r="S209" s="172" t="inlineStr">
        <is>
          <t>Census PEP Vintage 2019</t>
        </is>
      </c>
      <c r="T209" s="172" t="inlineStr">
        <is>
          <t>https://www2.census.gov/programs-surveys/popest/datasets/2010-2019/national/totals/nst-est2019-alldata.csv</t>
        </is>
      </c>
    </row>
    <row r="210">
      <c r="A210" s="172" t="n">
        <v>2019</v>
      </c>
      <c r="B210" t="inlineStr">
        <is>
          <t>CA</t>
        </is>
      </c>
      <c r="C210" t="inlineStr">
        <is>
          <t>06</t>
        </is>
      </c>
      <c r="D210" t="inlineStr">
        <is>
          <t>California</t>
        </is>
      </c>
      <c r="E210" s="172" t="n">
        <v>135</v>
      </c>
      <c r="F210" s="172" t="n">
        <v>39512223</v>
      </c>
      <c r="G210" s="172" t="n">
        <v>0.3417</v>
      </c>
      <c r="H210" s="172" t="n">
        <v>3.4167</v>
      </c>
      <c r="I210" s="172" t="n">
        <v>9</v>
      </c>
      <c r="J210" t="n">
        <v>0.2278</v>
      </c>
      <c r="K210" s="172" t="n">
        <v>63</v>
      </c>
      <c r="L210" t="n">
        <v>1.5944</v>
      </c>
      <c r="M210" s="172" t="n">
        <v>25</v>
      </c>
      <c r="N210" t="n">
        <v>0.6327</v>
      </c>
      <c r="O210" s="172" t="n">
        <v>31</v>
      </c>
      <c r="P210" t="n">
        <v>0.7846</v>
      </c>
      <c r="Q210" s="172" t="n">
        <v>115</v>
      </c>
      <c r="R210" s="172" t="n">
        <v>20</v>
      </c>
      <c r="S210" s="172" t="inlineStr">
        <is>
          <t>Census PEP Vintage 2019</t>
        </is>
      </c>
      <c r="T210" s="172" t="inlineStr">
        <is>
          <t>https://www2.census.gov/programs-surveys/popest/datasets/2010-2019/national/totals/nst-est2019-alldata.csv</t>
        </is>
      </c>
    </row>
    <row r="211">
      <c r="A211" s="172" t="n">
        <v>2019</v>
      </c>
      <c r="B211" t="inlineStr">
        <is>
          <t>CO</t>
        </is>
      </c>
      <c r="C211" t="inlineStr">
        <is>
          <t>08</t>
        </is>
      </c>
      <c r="D211" t="inlineStr">
        <is>
          <t>Colorado</t>
        </is>
      </c>
      <c r="E211" s="172" t="n">
        <v>36</v>
      </c>
      <c r="F211" s="172" t="n">
        <v>5758736</v>
      </c>
      <c r="G211" s="172" t="n">
        <v>0.6251</v>
      </c>
      <c r="H211" s="172" t="n">
        <v>6.2514</v>
      </c>
      <c r="I211" s="172" t="n">
        <v>2</v>
      </c>
      <c r="J211" t="n">
        <v>0.3473</v>
      </c>
      <c r="K211" s="172" t="n">
        <v>25</v>
      </c>
      <c r="L211" t="n">
        <v>4.3412</v>
      </c>
      <c r="M211" s="172" t="n">
        <v>5</v>
      </c>
      <c r="N211" t="n">
        <v>0.8682</v>
      </c>
      <c r="O211" s="172" t="n">
        <v>4</v>
      </c>
      <c r="P211" t="n">
        <v>0.6946</v>
      </c>
      <c r="Q211" s="172" t="n">
        <v>34</v>
      </c>
      <c r="R211" s="172" t="n">
        <v>2</v>
      </c>
      <c r="S211" s="172" t="inlineStr">
        <is>
          <t>Census PEP Vintage 2019</t>
        </is>
      </c>
      <c r="T211" s="172" t="inlineStr">
        <is>
          <t>https://www2.census.gov/programs-surveys/popest/datasets/2010-2019/national/totals/nst-est2019-alldata.csv</t>
        </is>
      </c>
    </row>
    <row r="212">
      <c r="A212" s="172" t="n">
        <v>2019</v>
      </c>
      <c r="B212" t="inlineStr">
        <is>
          <t>CT</t>
        </is>
      </c>
      <c r="C212" t="inlineStr">
        <is>
          <t>09</t>
        </is>
      </c>
      <c r="D212" t="inlineStr">
        <is>
          <t>Connecticut</t>
        </is>
      </c>
      <c r="E212" s="172" t="n">
        <v>4</v>
      </c>
      <c r="F212" s="172" t="n">
        <v>3565287</v>
      </c>
      <c r="G212" s="172" t="n">
        <v>0.1122</v>
      </c>
      <c r="H212" s="172" t="n">
        <v>1.1219</v>
      </c>
      <c r="I212" s="172" t="n">
        <v>1</v>
      </c>
      <c r="J212" t="n">
        <v>0.2805</v>
      </c>
      <c r="K212" s="172" t="n">
        <v>2</v>
      </c>
      <c r="L212" t="n">
        <v>0.5610000000000001</v>
      </c>
      <c r="M212" s="172" t="n">
        <v>1</v>
      </c>
      <c r="N212" t="n">
        <v>0.2805</v>
      </c>
      <c r="O212" s="172" t="n">
        <v>1</v>
      </c>
      <c r="P212" t="n">
        <v>0.2805</v>
      </c>
      <c r="Q212" s="172" t="n">
        <v>4</v>
      </c>
      <c r="R212" s="172" t="n">
        <v>0</v>
      </c>
      <c r="S212" s="172" t="inlineStr">
        <is>
          <t>Census PEP Vintage 2019</t>
        </is>
      </c>
      <c r="T212" s="172" t="inlineStr">
        <is>
          <t>https://www2.census.gov/programs-surveys/popest/datasets/2010-2019/national/totals/nst-est2019-alldata.csv</t>
        </is>
      </c>
    </row>
    <row r="213">
      <c r="A213" s="172" t="n">
        <v>2019</v>
      </c>
      <c r="B213" t="inlineStr">
        <is>
          <t>DC</t>
        </is>
      </c>
      <c r="C213" t="inlineStr">
        <is>
          <t>11</t>
        </is>
      </c>
      <c r="D213" t="inlineStr">
        <is>
          <t>District of Columbia</t>
        </is>
      </c>
      <c r="E213" s="172" t="n">
        <v>1</v>
      </c>
      <c r="F213" s="172" t="n">
        <v>705749</v>
      </c>
      <c r="G213" s="172" t="n">
        <v>0.1417</v>
      </c>
      <c r="H213" s="172" t="n">
        <v>1.4169</v>
      </c>
      <c r="I213" s="172" t="n">
        <v>0</v>
      </c>
      <c r="J213" t="n">
        <v>0</v>
      </c>
      <c r="K213" s="172" t="n">
        <v>1</v>
      </c>
      <c r="L213" t="n">
        <v>1.4169</v>
      </c>
      <c r="M213" s="172" t="n">
        <v>0</v>
      </c>
      <c r="N213" t="n">
        <v>0</v>
      </c>
      <c r="O213" s="172" t="n">
        <v>0</v>
      </c>
      <c r="P213" t="n">
        <v>0</v>
      </c>
      <c r="Q213" s="172" t="n">
        <v>1</v>
      </c>
      <c r="R213" s="172" t="n">
        <v>0</v>
      </c>
      <c r="S213" s="172" t="inlineStr">
        <is>
          <t>Census PEP Vintage 2019</t>
        </is>
      </c>
      <c r="T213" s="172" t="inlineStr">
        <is>
          <t>https://www2.census.gov/programs-surveys/popest/datasets/2010-2019/national/totals/nst-est2019-alldata.csv</t>
        </is>
      </c>
    </row>
    <row r="214">
      <c r="A214" s="172" t="n">
        <v>2019</v>
      </c>
      <c r="B214" t="inlineStr">
        <is>
          <t>DE</t>
        </is>
      </c>
      <c r="C214" t="inlineStr">
        <is>
          <t>10</t>
        </is>
      </c>
      <c r="D214" t="inlineStr">
        <is>
          <t>Delaware</t>
        </is>
      </c>
      <c r="E214" s="172" t="n">
        <v>2</v>
      </c>
      <c r="F214" s="172" t="n">
        <v>973764</v>
      </c>
      <c r="G214" s="172" t="n">
        <v>0.2054</v>
      </c>
      <c r="H214" s="172" t="n">
        <v>2.0539</v>
      </c>
      <c r="I214" s="172" t="n">
        <v>0</v>
      </c>
      <c r="J214" t="n">
        <v>0</v>
      </c>
      <c r="K214" s="172" t="n">
        <v>2</v>
      </c>
      <c r="L214" t="n">
        <v>2.0539</v>
      </c>
      <c r="M214" s="172" t="n">
        <v>1</v>
      </c>
      <c r="N214" t="n">
        <v>1.0269</v>
      </c>
      <c r="O214" s="172" t="n">
        <v>0</v>
      </c>
      <c r="P214" t="n">
        <v>0</v>
      </c>
      <c r="Q214" s="172" t="n">
        <v>0</v>
      </c>
      <c r="R214" s="172" t="n">
        <v>2</v>
      </c>
      <c r="S214" s="172" t="inlineStr">
        <is>
          <t>Census PEP Vintage 2019</t>
        </is>
      </c>
      <c r="T214" s="172" t="inlineStr">
        <is>
          <t>https://www2.census.gov/programs-surveys/popest/datasets/2010-2019/national/totals/nst-est2019-alldata.csv</t>
        </is>
      </c>
    </row>
    <row r="215">
      <c r="A215" s="172" t="n">
        <v>2019</v>
      </c>
      <c r="B215" t="inlineStr">
        <is>
          <t>FL</t>
        </is>
      </c>
      <c r="C215" t="inlineStr">
        <is>
          <t>12</t>
        </is>
      </c>
      <c r="D215" t="inlineStr">
        <is>
          <t>Florida</t>
        </is>
      </c>
      <c r="E215" s="172" t="n">
        <v>63</v>
      </c>
      <c r="F215" s="172" t="n">
        <v>21477737</v>
      </c>
      <c r="G215" s="172" t="n">
        <v>0.2933</v>
      </c>
      <c r="H215" s="172" t="n">
        <v>2.9333</v>
      </c>
      <c r="I215" s="172" t="n">
        <v>0</v>
      </c>
      <c r="J215" t="n">
        <v>0</v>
      </c>
      <c r="K215" s="172" t="n">
        <v>39</v>
      </c>
      <c r="L215" t="n">
        <v>1.8158</v>
      </c>
      <c r="M215" s="172" t="n">
        <v>14</v>
      </c>
      <c r="N215" t="n">
        <v>0.6518</v>
      </c>
      <c r="O215" s="172" t="n">
        <v>5</v>
      </c>
      <c r="P215" t="n">
        <v>0.2328</v>
      </c>
      <c r="Q215" s="172" t="n">
        <v>56</v>
      </c>
      <c r="R215" s="172" t="n">
        <v>7</v>
      </c>
      <c r="S215" s="172" t="inlineStr">
        <is>
          <t>Census PEP Vintage 2019</t>
        </is>
      </c>
      <c r="T215" s="172" t="inlineStr">
        <is>
          <t>https://www2.census.gov/programs-surveys/popest/datasets/2010-2019/national/totals/nst-est2019-alldata.csv</t>
        </is>
      </c>
    </row>
    <row r="216">
      <c r="A216" s="172" t="n">
        <v>2019</v>
      </c>
      <c r="B216" t="inlineStr">
        <is>
          <t>GA</t>
        </is>
      </c>
      <c r="C216" t="inlineStr">
        <is>
          <t>13</t>
        </is>
      </c>
      <c r="D216" t="inlineStr">
        <is>
          <t>Georgia</t>
        </is>
      </c>
      <c r="E216" s="172" t="n">
        <v>37</v>
      </c>
      <c r="F216" s="172" t="n">
        <v>10617423</v>
      </c>
      <c r="G216" s="172" t="n">
        <v>0.3485</v>
      </c>
      <c r="H216" s="172" t="n">
        <v>3.4848</v>
      </c>
      <c r="I216" s="172" t="n">
        <v>3</v>
      </c>
      <c r="J216" t="n">
        <v>0.2826</v>
      </c>
      <c r="K216" s="172" t="n">
        <v>20</v>
      </c>
      <c r="L216" t="n">
        <v>1.8837</v>
      </c>
      <c r="M216" s="172" t="n">
        <v>6</v>
      </c>
      <c r="N216" t="n">
        <v>0.5651</v>
      </c>
      <c r="O216" s="172" t="n">
        <v>6</v>
      </c>
      <c r="P216" t="n">
        <v>0.5651</v>
      </c>
      <c r="Q216" s="172" t="n">
        <v>31</v>
      </c>
      <c r="R216" s="172" t="n">
        <v>6</v>
      </c>
      <c r="S216" s="172" t="inlineStr">
        <is>
          <t>Census PEP Vintage 2019</t>
        </is>
      </c>
      <c r="T216" s="172" t="inlineStr">
        <is>
          <t>https://www2.census.gov/programs-surveys/popest/datasets/2010-2019/national/totals/nst-est2019-alldata.csv</t>
        </is>
      </c>
    </row>
    <row r="217">
      <c r="A217" s="172" t="n">
        <v>2019</v>
      </c>
      <c r="B217" t="inlineStr">
        <is>
          <t>HI</t>
        </is>
      </c>
      <c r="C217" t="inlineStr">
        <is>
          <t>15</t>
        </is>
      </c>
      <c r="D217" t="inlineStr">
        <is>
          <t>Hawaii</t>
        </is>
      </c>
      <c r="E217" s="172" t="n">
        <v>7</v>
      </c>
      <c r="F217" s="172" t="n">
        <v>1415872</v>
      </c>
      <c r="G217" s="172" t="n">
        <v>0.4944</v>
      </c>
      <c r="H217" s="172" t="n">
        <v>4.9439</v>
      </c>
      <c r="I217" s="172" t="n">
        <v>2</v>
      </c>
      <c r="J217" t="n">
        <v>1.4126</v>
      </c>
      <c r="K217" s="172" t="n">
        <v>2</v>
      </c>
      <c r="L217" t="n">
        <v>1.4126</v>
      </c>
      <c r="M217" s="172" t="n">
        <v>0</v>
      </c>
      <c r="N217" t="n">
        <v>0</v>
      </c>
      <c r="O217" s="172" t="n">
        <v>1</v>
      </c>
      <c r="P217" t="n">
        <v>0.7063</v>
      </c>
      <c r="Q217" s="172" t="n">
        <v>7</v>
      </c>
      <c r="R217" s="172" t="n">
        <v>0</v>
      </c>
      <c r="S217" s="172" t="inlineStr">
        <is>
          <t>Census PEP Vintage 2019</t>
        </is>
      </c>
      <c r="T217" s="172" t="inlineStr">
        <is>
          <t>https://www2.census.gov/programs-surveys/popest/datasets/2010-2019/national/totals/nst-est2019-alldata.csv</t>
        </is>
      </c>
    </row>
    <row r="218">
      <c r="A218" s="172" t="n">
        <v>2019</v>
      </c>
      <c r="B218" t="inlineStr">
        <is>
          <t>IA</t>
        </is>
      </c>
      <c r="C218" t="inlineStr">
        <is>
          <t>19</t>
        </is>
      </c>
      <c r="D218" t="inlineStr">
        <is>
          <t>Iowa</t>
        </is>
      </c>
      <c r="E218" s="172" t="n">
        <v>5</v>
      </c>
      <c r="F218" s="172" t="n">
        <v>3155070</v>
      </c>
      <c r="G218" s="172" t="n">
        <v>0.1585</v>
      </c>
      <c r="H218" s="172" t="n">
        <v>1.5848</v>
      </c>
      <c r="I218" s="172" t="n">
        <v>0</v>
      </c>
      <c r="J218" t="n">
        <v>0</v>
      </c>
      <c r="K218" s="172" t="n">
        <v>4</v>
      </c>
      <c r="L218" t="n">
        <v>1.2678</v>
      </c>
      <c r="M218" s="172" t="n">
        <v>1</v>
      </c>
      <c r="N218" t="n">
        <v>0.317</v>
      </c>
      <c r="O218" s="172" t="n">
        <v>0</v>
      </c>
      <c r="P218" t="n">
        <v>0</v>
      </c>
      <c r="Q218" s="172" t="n">
        <v>5</v>
      </c>
      <c r="R218" s="172" t="n">
        <v>0</v>
      </c>
      <c r="S218" s="172" t="inlineStr">
        <is>
          <t>Census PEP Vintage 2019</t>
        </is>
      </c>
      <c r="T218" s="172" t="inlineStr">
        <is>
          <t>https://www2.census.gov/programs-surveys/popest/datasets/2010-2019/national/totals/nst-est2019-alldata.csv</t>
        </is>
      </c>
    </row>
    <row r="219">
      <c r="A219" s="172" t="n">
        <v>2019</v>
      </c>
      <c r="B219" t="inlineStr">
        <is>
          <t>ID</t>
        </is>
      </c>
      <c r="C219" t="inlineStr">
        <is>
          <t>16</t>
        </is>
      </c>
      <c r="D219" t="inlineStr">
        <is>
          <t>Idaho</t>
        </is>
      </c>
      <c r="E219" s="172" t="n">
        <v>7</v>
      </c>
      <c r="F219" s="172" t="n">
        <v>1787065</v>
      </c>
      <c r="G219" s="172" t="n">
        <v>0.3917</v>
      </c>
      <c r="H219" s="172" t="n">
        <v>3.917</v>
      </c>
      <c r="I219" s="172" t="n">
        <v>0</v>
      </c>
      <c r="J219" t="n">
        <v>0</v>
      </c>
      <c r="K219" s="172" t="n">
        <v>4</v>
      </c>
      <c r="L219" t="n">
        <v>2.2383</v>
      </c>
      <c r="M219" s="172" t="n">
        <v>3</v>
      </c>
      <c r="N219" t="n">
        <v>1.6787</v>
      </c>
      <c r="O219" s="172" t="n">
        <v>1</v>
      </c>
      <c r="P219" t="n">
        <v>0.5596</v>
      </c>
      <c r="Q219" s="172" t="n">
        <v>6</v>
      </c>
      <c r="R219" s="172" t="n">
        <v>1</v>
      </c>
      <c r="S219" s="172" t="inlineStr">
        <is>
          <t>Census PEP Vintage 2019</t>
        </is>
      </c>
      <c r="T219" s="172" t="inlineStr">
        <is>
          <t>https://www2.census.gov/programs-surveys/popest/datasets/2010-2019/national/totals/nst-est2019-alldata.csv</t>
        </is>
      </c>
    </row>
    <row r="220">
      <c r="A220" s="172" t="n">
        <v>2019</v>
      </c>
      <c r="B220" t="inlineStr">
        <is>
          <t>IL</t>
        </is>
      </c>
      <c r="C220" t="inlineStr">
        <is>
          <t>17</t>
        </is>
      </c>
      <c r="D220" t="inlineStr">
        <is>
          <t>Illinois</t>
        </is>
      </c>
      <c r="E220" s="172" t="n">
        <v>13</v>
      </c>
      <c r="F220" s="172" t="n">
        <v>12671821</v>
      </c>
      <c r="G220" s="172" t="n">
        <v>0.1026</v>
      </c>
      <c r="H220" s="172" t="n">
        <v>1.0259</v>
      </c>
      <c r="I220" s="172" t="n">
        <v>0</v>
      </c>
      <c r="J220" t="n">
        <v>0</v>
      </c>
      <c r="K220" s="172" t="n">
        <v>9</v>
      </c>
      <c r="L220" t="n">
        <v>0.7102000000000001</v>
      </c>
      <c r="M220" s="172" t="n">
        <v>2</v>
      </c>
      <c r="N220" t="n">
        <v>0.1578</v>
      </c>
      <c r="O220" s="172" t="n">
        <v>1</v>
      </c>
      <c r="P220" t="n">
        <v>0.0789</v>
      </c>
      <c r="Q220" s="172" t="n">
        <v>10</v>
      </c>
      <c r="R220" s="172" t="n">
        <v>3</v>
      </c>
      <c r="S220" s="172" t="inlineStr">
        <is>
          <t>Census PEP Vintage 2019</t>
        </is>
      </c>
      <c r="T220" s="172" t="inlineStr">
        <is>
          <t>https://www2.census.gov/programs-surveys/popest/datasets/2010-2019/national/totals/nst-est2019-alldata.csv</t>
        </is>
      </c>
    </row>
    <row r="221">
      <c r="A221" s="172" t="n">
        <v>2019</v>
      </c>
      <c r="B221" t="inlineStr">
        <is>
          <t>IN</t>
        </is>
      </c>
      <c r="C221" t="inlineStr">
        <is>
          <t>18</t>
        </is>
      </c>
      <c r="D221" t="inlineStr">
        <is>
          <t>Indiana</t>
        </is>
      </c>
      <c r="E221" s="172" t="n">
        <v>16</v>
      </c>
      <c r="F221" s="172" t="n">
        <v>6732219</v>
      </c>
      <c r="G221" s="172" t="n">
        <v>0.2377</v>
      </c>
      <c r="H221" s="172" t="n">
        <v>2.3766</v>
      </c>
      <c r="I221" s="172" t="n">
        <v>0</v>
      </c>
      <c r="J221" t="n">
        <v>0</v>
      </c>
      <c r="K221" s="172" t="n">
        <v>11</v>
      </c>
      <c r="L221" t="n">
        <v>1.6339</v>
      </c>
      <c r="M221" s="172" t="n">
        <v>7</v>
      </c>
      <c r="N221" t="n">
        <v>1.0398</v>
      </c>
      <c r="O221" s="172" t="n">
        <v>3</v>
      </c>
      <c r="P221" t="n">
        <v>0.4456</v>
      </c>
      <c r="Q221" s="172" t="n">
        <v>16</v>
      </c>
      <c r="R221" s="172" t="n">
        <v>0</v>
      </c>
      <c r="S221" s="172" t="inlineStr">
        <is>
          <t>Census PEP Vintage 2019</t>
        </is>
      </c>
      <c r="T221" s="172" t="inlineStr">
        <is>
          <t>https://www2.census.gov/programs-surveys/popest/datasets/2010-2019/national/totals/nst-est2019-alldata.csv</t>
        </is>
      </c>
    </row>
    <row r="222">
      <c r="A222" s="172" t="n">
        <v>2019</v>
      </c>
      <c r="B222" t="inlineStr">
        <is>
          <t>KS</t>
        </is>
      </c>
      <c r="C222" t="inlineStr">
        <is>
          <t>20</t>
        </is>
      </c>
      <c r="D222" t="inlineStr">
        <is>
          <t>Kansas</t>
        </is>
      </c>
      <c r="E222" s="172" t="n">
        <v>9</v>
      </c>
      <c r="F222" s="172" t="n">
        <v>2913314</v>
      </c>
      <c r="G222" s="172" t="n">
        <v>0.3089</v>
      </c>
      <c r="H222" s="172" t="n">
        <v>3.0893</v>
      </c>
      <c r="I222" s="172" t="n">
        <v>0</v>
      </c>
      <c r="J222" t="n">
        <v>0</v>
      </c>
      <c r="K222" s="172" t="n">
        <v>6</v>
      </c>
      <c r="L222" t="n">
        <v>2.0595</v>
      </c>
      <c r="M222" s="172" t="n">
        <v>2</v>
      </c>
      <c r="N222" t="n">
        <v>0.6865</v>
      </c>
      <c r="O222" s="172" t="n">
        <v>0</v>
      </c>
      <c r="P222" t="n">
        <v>0</v>
      </c>
      <c r="Q222" s="172" t="n">
        <v>9</v>
      </c>
      <c r="R222" s="172" t="n">
        <v>0</v>
      </c>
      <c r="S222" s="172" t="inlineStr">
        <is>
          <t>Census PEP Vintage 2019</t>
        </is>
      </c>
      <c r="T222" s="172" t="inlineStr">
        <is>
          <t>https://www2.census.gov/programs-surveys/popest/datasets/2010-2019/national/totals/nst-est2019-alldata.csv</t>
        </is>
      </c>
    </row>
    <row r="223">
      <c r="A223" s="172" t="n">
        <v>2019</v>
      </c>
      <c r="B223" t="inlineStr">
        <is>
          <t>KY</t>
        </is>
      </c>
      <c r="C223" t="inlineStr">
        <is>
          <t>21</t>
        </is>
      </c>
      <c r="D223" t="inlineStr">
        <is>
          <t>Kentucky</t>
        </is>
      </c>
      <c r="E223" s="172" t="n">
        <v>15</v>
      </c>
      <c r="F223" s="172" t="n">
        <v>4467673</v>
      </c>
      <c r="G223" s="172" t="n">
        <v>0.3357</v>
      </c>
      <c r="H223" s="172" t="n">
        <v>3.3575</v>
      </c>
      <c r="I223" s="172" t="n">
        <v>0</v>
      </c>
      <c r="J223" t="n">
        <v>0</v>
      </c>
      <c r="K223" s="172" t="n">
        <v>8</v>
      </c>
      <c r="L223" t="n">
        <v>1.7906</v>
      </c>
      <c r="M223" s="172" t="n">
        <v>1</v>
      </c>
      <c r="N223" t="n">
        <v>0.2238</v>
      </c>
      <c r="O223" s="172" t="n">
        <v>1</v>
      </c>
      <c r="P223" t="n">
        <v>0.2238</v>
      </c>
      <c r="Q223" s="172" t="n">
        <v>13</v>
      </c>
      <c r="R223" s="172" t="n">
        <v>2</v>
      </c>
      <c r="S223" s="172" t="inlineStr">
        <is>
          <t>Census PEP Vintage 2019</t>
        </is>
      </c>
      <c r="T223" s="172" t="inlineStr">
        <is>
          <t>https://www2.census.gov/programs-surveys/popest/datasets/2010-2019/national/totals/nst-est2019-alldata.csv</t>
        </is>
      </c>
    </row>
    <row r="224">
      <c r="A224" s="172" t="n">
        <v>2019</v>
      </c>
      <c r="B224" t="inlineStr">
        <is>
          <t>LA</t>
        </is>
      </c>
      <c r="C224" t="inlineStr">
        <is>
          <t>22</t>
        </is>
      </c>
      <c r="D224" t="inlineStr">
        <is>
          <t>Louisiana</t>
        </is>
      </c>
      <c r="E224" s="172" t="n">
        <v>19</v>
      </c>
      <c r="F224" s="172" t="n">
        <v>4648794</v>
      </c>
      <c r="G224" s="172" t="n">
        <v>0.4087</v>
      </c>
      <c r="H224" s="172" t="n">
        <v>4.0871</v>
      </c>
      <c r="I224" s="172" t="n">
        <v>3</v>
      </c>
      <c r="J224" t="n">
        <v>0.6453</v>
      </c>
      <c r="K224" s="172" t="n">
        <v>11</v>
      </c>
      <c r="L224" t="n">
        <v>2.3662</v>
      </c>
      <c r="M224" s="172" t="n">
        <v>4</v>
      </c>
      <c r="N224" t="n">
        <v>0.8604000000000001</v>
      </c>
      <c r="O224" s="172" t="n">
        <v>2</v>
      </c>
      <c r="P224" t="n">
        <v>0.4302</v>
      </c>
      <c r="Q224" s="172" t="n">
        <v>19</v>
      </c>
      <c r="R224" s="172" t="n">
        <v>0</v>
      </c>
      <c r="S224" s="172" t="inlineStr">
        <is>
          <t>Census PEP Vintage 2019</t>
        </is>
      </c>
      <c r="T224" s="172" t="inlineStr">
        <is>
          <t>https://www2.census.gov/programs-surveys/popest/datasets/2010-2019/national/totals/nst-est2019-alldata.csv</t>
        </is>
      </c>
    </row>
    <row r="225">
      <c r="A225" s="172" t="n">
        <v>2019</v>
      </c>
      <c r="B225" t="inlineStr">
        <is>
          <t>MA</t>
        </is>
      </c>
      <c r="C225" t="inlineStr">
        <is>
          <t>25</t>
        </is>
      </c>
      <c r="D225" t="inlineStr">
        <is>
          <t>Massachusetts</t>
        </is>
      </c>
      <c r="E225" s="172" t="n">
        <v>5</v>
      </c>
      <c r="F225" s="172" t="n">
        <v>6892503</v>
      </c>
      <c r="G225" s="172" t="n">
        <v>0.0725</v>
      </c>
      <c r="H225" s="172" t="n">
        <v>0.7254</v>
      </c>
      <c r="I225" s="172" t="n">
        <v>0</v>
      </c>
      <c r="J225" t="n">
        <v>0</v>
      </c>
      <c r="K225" s="172" t="n">
        <v>5</v>
      </c>
      <c r="L225" t="n">
        <v>0.7254</v>
      </c>
      <c r="M225" s="172" t="n">
        <v>0</v>
      </c>
      <c r="N225" t="n">
        <v>0</v>
      </c>
      <c r="O225" s="172" t="n">
        <v>1</v>
      </c>
      <c r="P225" t="n">
        <v>0.1451</v>
      </c>
      <c r="Q225" s="172" t="n">
        <v>3</v>
      </c>
      <c r="R225" s="172" t="n">
        <v>2</v>
      </c>
      <c r="S225" s="172" t="inlineStr">
        <is>
          <t>Census PEP Vintage 2019</t>
        </is>
      </c>
      <c r="T225" s="172" t="inlineStr">
        <is>
          <t>https://www2.census.gov/programs-surveys/popest/datasets/2010-2019/national/totals/nst-est2019-alldata.csv</t>
        </is>
      </c>
    </row>
    <row r="226">
      <c r="A226" s="172" t="n">
        <v>2019</v>
      </c>
      <c r="B226" t="inlineStr">
        <is>
          <t>MD</t>
        </is>
      </c>
      <c r="C226" t="inlineStr">
        <is>
          <t>24</t>
        </is>
      </c>
      <c r="D226" t="inlineStr">
        <is>
          <t>Maryland</t>
        </is>
      </c>
      <c r="E226" s="172" t="n">
        <v>19</v>
      </c>
      <c r="F226" s="172" t="n">
        <v>6045680</v>
      </c>
      <c r="G226" s="172" t="n">
        <v>0.3143</v>
      </c>
      <c r="H226" s="172" t="n">
        <v>3.1427</v>
      </c>
      <c r="I226" s="172" t="n">
        <v>1</v>
      </c>
      <c r="J226" t="n">
        <v>0.1654</v>
      </c>
      <c r="K226" s="172" t="n">
        <v>11</v>
      </c>
      <c r="L226" t="n">
        <v>1.8195</v>
      </c>
      <c r="M226" s="172" t="n">
        <v>7</v>
      </c>
      <c r="N226" t="n">
        <v>1.1579</v>
      </c>
      <c r="O226" s="172" t="n">
        <v>6</v>
      </c>
      <c r="P226" t="n">
        <v>0.9923999999999999</v>
      </c>
      <c r="Q226" s="172" t="n">
        <v>18</v>
      </c>
      <c r="R226" s="172" t="n">
        <v>1</v>
      </c>
      <c r="S226" s="172" t="inlineStr">
        <is>
          <t>Census PEP Vintage 2019</t>
        </is>
      </c>
      <c r="T226" s="172" t="inlineStr">
        <is>
          <t>https://www2.census.gov/programs-surveys/popest/datasets/2010-2019/national/totals/nst-est2019-alldata.csv</t>
        </is>
      </c>
    </row>
    <row r="227">
      <c r="A227" s="172" t="n">
        <v>2019</v>
      </c>
      <c r="B227" t="inlineStr">
        <is>
          <t>ME</t>
        </is>
      </c>
      <c r="C227" t="inlineStr">
        <is>
          <t>23</t>
        </is>
      </c>
      <c r="D227" t="inlineStr">
        <is>
          <t>Maine</t>
        </is>
      </c>
      <c r="E227" s="172" t="n">
        <v>3</v>
      </c>
      <c r="F227" s="172" t="n">
        <v>1344212</v>
      </c>
      <c r="G227" s="172" t="n">
        <v>0.2232</v>
      </c>
      <c r="H227" s="172" t="n">
        <v>2.2318</v>
      </c>
      <c r="I227" s="172" t="n">
        <v>0</v>
      </c>
      <c r="J227" t="n">
        <v>0</v>
      </c>
      <c r="K227" s="172" t="n">
        <v>2</v>
      </c>
      <c r="L227" t="n">
        <v>1.4879</v>
      </c>
      <c r="M227" s="172" t="n">
        <v>0</v>
      </c>
      <c r="N227" t="n">
        <v>0</v>
      </c>
      <c r="O227" s="172" t="n">
        <v>0</v>
      </c>
      <c r="P227" t="n">
        <v>0</v>
      </c>
      <c r="Q227" s="172" t="n">
        <v>3</v>
      </c>
      <c r="R227" s="172" t="n">
        <v>0</v>
      </c>
      <c r="S227" s="172" t="inlineStr">
        <is>
          <t>Census PEP Vintage 2019</t>
        </is>
      </c>
      <c r="T227" s="172" t="inlineStr">
        <is>
          <t>https://www2.census.gov/programs-surveys/popest/datasets/2010-2019/national/totals/nst-est2019-alldata.csv</t>
        </is>
      </c>
    </row>
    <row r="228">
      <c r="A228" s="172" t="n">
        <v>2019</v>
      </c>
      <c r="B228" t="inlineStr">
        <is>
          <t>MI</t>
        </is>
      </c>
      <c r="C228" t="inlineStr">
        <is>
          <t>26</t>
        </is>
      </c>
      <c r="D228" t="inlineStr">
        <is>
          <t>Michigan</t>
        </is>
      </c>
      <c r="E228" s="172" t="n">
        <v>13</v>
      </c>
      <c r="F228" s="172" t="n">
        <v>9986857</v>
      </c>
      <c r="G228" s="172" t="n">
        <v>0.1302</v>
      </c>
      <c r="H228" s="172" t="n">
        <v>1.3017</v>
      </c>
      <c r="I228" s="172" t="n">
        <v>2</v>
      </c>
      <c r="J228" t="n">
        <v>0.2003</v>
      </c>
      <c r="K228" s="172" t="n">
        <v>8</v>
      </c>
      <c r="L228" t="n">
        <v>0.8011</v>
      </c>
      <c r="M228" s="172" t="n">
        <v>4</v>
      </c>
      <c r="N228" t="n">
        <v>0.4005</v>
      </c>
      <c r="O228" s="172" t="n">
        <v>0</v>
      </c>
      <c r="P228" t="n">
        <v>0</v>
      </c>
      <c r="Q228" s="172" t="n">
        <v>11</v>
      </c>
      <c r="R228" s="172" t="n">
        <v>2</v>
      </c>
      <c r="S228" s="172" t="inlineStr">
        <is>
          <t>Census PEP Vintage 2019</t>
        </is>
      </c>
      <c r="T228" s="172" t="inlineStr">
        <is>
          <t>https://www2.census.gov/programs-surveys/popest/datasets/2010-2019/national/totals/nst-est2019-alldata.csv</t>
        </is>
      </c>
    </row>
    <row r="229">
      <c r="A229" s="172" t="n">
        <v>2019</v>
      </c>
      <c r="B229" t="inlineStr">
        <is>
          <t>MN</t>
        </is>
      </c>
      <c r="C229" t="inlineStr">
        <is>
          <t>27</t>
        </is>
      </c>
      <c r="D229" t="inlineStr">
        <is>
          <t>Minnesota</t>
        </is>
      </c>
      <c r="E229" s="172" t="n">
        <v>11</v>
      </c>
      <c r="F229" s="172" t="n">
        <v>5639632</v>
      </c>
      <c r="G229" s="172" t="n">
        <v>0.195</v>
      </c>
      <c r="H229" s="172" t="n">
        <v>1.9505</v>
      </c>
      <c r="I229" s="172" t="n">
        <v>1</v>
      </c>
      <c r="J229" t="n">
        <v>0.1773</v>
      </c>
      <c r="K229" s="172" t="n">
        <v>6</v>
      </c>
      <c r="L229" t="n">
        <v>1.0639</v>
      </c>
      <c r="M229" s="172" t="n">
        <v>3</v>
      </c>
      <c r="N229" t="n">
        <v>0.5319</v>
      </c>
      <c r="O229" s="172" t="n">
        <v>7</v>
      </c>
      <c r="P229" t="n">
        <v>1.2412</v>
      </c>
      <c r="Q229" s="172" t="n">
        <v>11</v>
      </c>
      <c r="R229" s="172" t="n">
        <v>0</v>
      </c>
      <c r="S229" s="172" t="inlineStr">
        <is>
          <t>Census PEP Vintage 2019</t>
        </is>
      </c>
      <c r="T229" s="172" t="inlineStr">
        <is>
          <t>https://www2.census.gov/programs-surveys/popest/datasets/2010-2019/national/totals/nst-est2019-alldata.csv</t>
        </is>
      </c>
    </row>
    <row r="230">
      <c r="A230" s="172" t="n">
        <v>2019</v>
      </c>
      <c r="B230" t="inlineStr">
        <is>
          <t>MO</t>
        </is>
      </c>
      <c r="C230" t="inlineStr">
        <is>
          <t>29</t>
        </is>
      </c>
      <c r="D230" t="inlineStr">
        <is>
          <t>Missouri</t>
        </is>
      </c>
      <c r="E230" s="172" t="n">
        <v>28</v>
      </c>
      <c r="F230" s="172" t="n">
        <v>6137428</v>
      </c>
      <c r="G230" s="172" t="n">
        <v>0.4562</v>
      </c>
      <c r="H230" s="172" t="n">
        <v>4.5622</v>
      </c>
      <c r="I230" s="172" t="n">
        <v>2</v>
      </c>
      <c r="J230" t="n">
        <v>0.3259</v>
      </c>
      <c r="K230" s="172" t="n">
        <v>21</v>
      </c>
      <c r="L230" t="n">
        <v>3.4216</v>
      </c>
      <c r="M230" s="172" t="n">
        <v>4</v>
      </c>
      <c r="N230" t="n">
        <v>0.6516999999999999</v>
      </c>
      <c r="O230" s="172" t="n">
        <v>0</v>
      </c>
      <c r="P230" t="n">
        <v>0</v>
      </c>
      <c r="Q230" s="172" t="n">
        <v>25</v>
      </c>
      <c r="R230" s="172" t="n">
        <v>3</v>
      </c>
      <c r="S230" s="172" t="inlineStr">
        <is>
          <t>Census PEP Vintage 2019</t>
        </is>
      </c>
      <c r="T230" s="172" t="inlineStr">
        <is>
          <t>https://www2.census.gov/programs-surveys/popest/datasets/2010-2019/national/totals/nst-est2019-alldata.csv</t>
        </is>
      </c>
    </row>
    <row r="231">
      <c r="A231" s="172" t="n">
        <v>2019</v>
      </c>
      <c r="B231" t="inlineStr">
        <is>
          <t>MS</t>
        </is>
      </c>
      <c r="C231" t="inlineStr">
        <is>
          <t>28</t>
        </is>
      </c>
      <c r="D231" t="inlineStr">
        <is>
          <t>Mississippi</t>
        </is>
      </c>
      <c r="E231" s="172" t="n">
        <v>18</v>
      </c>
      <c r="F231" s="172" t="n">
        <v>2976149</v>
      </c>
      <c r="G231" s="172" t="n">
        <v>0.6048</v>
      </c>
      <c r="H231" s="172" t="n">
        <v>6.0481</v>
      </c>
      <c r="I231" s="172" t="n">
        <v>0</v>
      </c>
      <c r="J231" t="n">
        <v>0</v>
      </c>
      <c r="K231" s="172" t="n">
        <v>15</v>
      </c>
      <c r="L231" t="n">
        <v>5.0401</v>
      </c>
      <c r="M231" s="172" t="n">
        <v>7</v>
      </c>
      <c r="N231" t="n">
        <v>2.352</v>
      </c>
      <c r="O231" s="172" t="n">
        <v>2</v>
      </c>
      <c r="P231" t="n">
        <v>0.672</v>
      </c>
      <c r="Q231" s="172" t="n">
        <v>17</v>
      </c>
      <c r="R231" s="172" t="n">
        <v>1</v>
      </c>
      <c r="S231" s="172" t="inlineStr">
        <is>
          <t>Census PEP Vintage 2019</t>
        </is>
      </c>
      <c r="T231" s="172" t="inlineStr">
        <is>
          <t>https://www2.census.gov/programs-surveys/popest/datasets/2010-2019/national/totals/nst-est2019-alldata.csv</t>
        </is>
      </c>
    </row>
    <row r="232">
      <c r="A232" s="172" t="n">
        <v>2019</v>
      </c>
      <c r="B232" t="inlineStr">
        <is>
          <t>MT</t>
        </is>
      </c>
      <c r="C232" t="inlineStr">
        <is>
          <t>30</t>
        </is>
      </c>
      <c r="D232" t="inlineStr">
        <is>
          <t>Montana</t>
        </is>
      </c>
      <c r="E232" s="172" t="n">
        <v>6</v>
      </c>
      <c r="F232" s="172" t="n">
        <v>1068778</v>
      </c>
      <c r="G232" s="172" t="n">
        <v>0.5614</v>
      </c>
      <c r="H232" s="172" t="n">
        <v>5.6139</v>
      </c>
      <c r="I232" s="172" t="n">
        <v>0</v>
      </c>
      <c r="J232" t="n">
        <v>0</v>
      </c>
      <c r="K232" s="172" t="n">
        <v>6</v>
      </c>
      <c r="L232" t="n">
        <v>5.6139</v>
      </c>
      <c r="M232" s="172" t="n">
        <v>1</v>
      </c>
      <c r="N232" t="n">
        <v>0.9356</v>
      </c>
      <c r="O232" s="172" t="n">
        <v>0</v>
      </c>
      <c r="P232" t="n">
        <v>0</v>
      </c>
      <c r="Q232" s="172" t="n">
        <v>6</v>
      </c>
      <c r="R232" s="172" t="n">
        <v>0</v>
      </c>
      <c r="S232" s="172" t="inlineStr">
        <is>
          <t>Census PEP Vintage 2019</t>
        </is>
      </c>
      <c r="T232" s="172" t="inlineStr">
        <is>
          <t>https://www2.census.gov/programs-surveys/popest/datasets/2010-2019/national/totals/nst-est2019-alldata.csv</t>
        </is>
      </c>
    </row>
    <row r="233">
      <c r="A233" s="172" t="n">
        <v>2019</v>
      </c>
      <c r="B233" t="inlineStr">
        <is>
          <t>NC</t>
        </is>
      </c>
      <c r="C233" t="inlineStr">
        <is>
          <t>37</t>
        </is>
      </c>
      <c r="D233" t="inlineStr">
        <is>
          <t>North Carolina</t>
        </is>
      </c>
      <c r="E233" s="172" t="n">
        <v>33</v>
      </c>
      <c r="F233" s="172" t="n">
        <v>10488084</v>
      </c>
      <c r="G233" s="172" t="n">
        <v>0.3146</v>
      </c>
      <c r="H233" s="172" t="n">
        <v>3.1464</v>
      </c>
      <c r="I233" s="172" t="n">
        <v>1</v>
      </c>
      <c r="J233" t="n">
        <v>0.0953</v>
      </c>
      <c r="K233" s="172" t="n">
        <v>23</v>
      </c>
      <c r="L233" t="n">
        <v>2.193</v>
      </c>
      <c r="M233" s="172" t="n">
        <v>8</v>
      </c>
      <c r="N233" t="n">
        <v>0.7628</v>
      </c>
      <c r="O233" s="172" t="n">
        <v>3</v>
      </c>
      <c r="P233" t="n">
        <v>0.286</v>
      </c>
      <c r="Q233" s="172" t="n">
        <v>31</v>
      </c>
      <c r="R233" s="172" t="n">
        <v>2</v>
      </c>
      <c r="S233" s="172" t="inlineStr">
        <is>
          <t>Census PEP Vintage 2019</t>
        </is>
      </c>
      <c r="T233" s="172" t="inlineStr">
        <is>
          <t>https://www2.census.gov/programs-surveys/popest/datasets/2010-2019/national/totals/nst-est2019-alldata.csv</t>
        </is>
      </c>
    </row>
    <row r="234">
      <c r="A234" s="172" t="n">
        <v>2019</v>
      </c>
      <c r="B234" t="inlineStr">
        <is>
          <t>ND</t>
        </is>
      </c>
      <c r="C234" t="inlineStr">
        <is>
          <t>38</t>
        </is>
      </c>
      <c r="D234" t="inlineStr">
        <is>
          <t>North Dakota</t>
        </is>
      </c>
      <c r="E234" s="172" t="n">
        <v>0</v>
      </c>
      <c r="F234" s="172" t="n">
        <v>762062</v>
      </c>
      <c r="G234" s="172" t="n">
        <v>0</v>
      </c>
      <c r="H234" s="172" t="n">
        <v>0</v>
      </c>
      <c r="I234" s="172" t="n">
        <v>0</v>
      </c>
      <c r="J234" t="n">
        <v>0</v>
      </c>
      <c r="K234" s="172" t="n">
        <v>0</v>
      </c>
      <c r="L234" t="n">
        <v>0</v>
      </c>
      <c r="M234" s="172" t="n">
        <v>0</v>
      </c>
      <c r="N234" t="n">
        <v>0</v>
      </c>
      <c r="O234" s="172" t="n">
        <v>0</v>
      </c>
      <c r="P234" t="n">
        <v>0</v>
      </c>
      <c r="Q234" s="172" t="n">
        <v>0</v>
      </c>
      <c r="R234" s="172" t="n">
        <v>0</v>
      </c>
      <c r="S234" s="172" t="inlineStr">
        <is>
          <t>Census PEP Vintage 2019</t>
        </is>
      </c>
      <c r="T234" s="172" t="inlineStr">
        <is>
          <t>https://www2.census.gov/programs-surveys/popest/datasets/2010-2019/national/totals/nst-est2019-alldata.csv</t>
        </is>
      </c>
    </row>
    <row r="235">
      <c r="A235" s="172" t="n">
        <v>2019</v>
      </c>
      <c r="B235" t="inlineStr">
        <is>
          <t>NE</t>
        </is>
      </c>
      <c r="C235" t="inlineStr">
        <is>
          <t>31</t>
        </is>
      </c>
      <c r="D235" t="inlineStr">
        <is>
          <t>Nebraska</t>
        </is>
      </c>
      <c r="E235" s="172" t="n">
        <v>6</v>
      </c>
      <c r="F235" s="172" t="n">
        <v>1934408</v>
      </c>
      <c r="G235" s="172" t="n">
        <v>0.3102</v>
      </c>
      <c r="H235" s="172" t="n">
        <v>3.1017</v>
      </c>
      <c r="I235" s="172" t="n">
        <v>0</v>
      </c>
      <c r="J235" t="n">
        <v>0</v>
      </c>
      <c r="K235" s="172" t="n">
        <v>3</v>
      </c>
      <c r="L235" t="n">
        <v>1.5509</v>
      </c>
      <c r="M235" s="172" t="n">
        <v>1</v>
      </c>
      <c r="N235" t="n">
        <v>0.517</v>
      </c>
      <c r="O235" s="172" t="n">
        <v>1</v>
      </c>
      <c r="P235" t="n">
        <v>0.517</v>
      </c>
      <c r="Q235" s="172" t="n">
        <v>6</v>
      </c>
      <c r="R235" s="172" t="n">
        <v>0</v>
      </c>
      <c r="S235" s="172" t="inlineStr">
        <is>
          <t>Census PEP Vintage 2019</t>
        </is>
      </c>
      <c r="T235" s="172" t="inlineStr">
        <is>
          <t>https://www2.census.gov/programs-surveys/popest/datasets/2010-2019/national/totals/nst-est2019-alldata.csv</t>
        </is>
      </c>
    </row>
    <row r="236">
      <c r="A236" s="172" t="n">
        <v>2019</v>
      </c>
      <c r="B236" t="inlineStr">
        <is>
          <t>NH</t>
        </is>
      </c>
      <c r="C236" t="inlineStr">
        <is>
          <t>33</t>
        </is>
      </c>
      <c r="D236" t="inlineStr">
        <is>
          <t>New Hampshire</t>
        </is>
      </c>
      <c r="E236" s="172" t="n">
        <v>2</v>
      </c>
      <c r="F236" s="172" t="n">
        <v>1359711</v>
      </c>
      <c r="G236" s="172" t="n">
        <v>0.1471</v>
      </c>
      <c r="H236" s="172" t="n">
        <v>1.4709</v>
      </c>
      <c r="I236" s="172" t="n">
        <v>0</v>
      </c>
      <c r="J236" t="n">
        <v>0</v>
      </c>
      <c r="K236" s="172" t="n">
        <v>2</v>
      </c>
      <c r="L236" t="n">
        <v>1.4709</v>
      </c>
      <c r="M236" s="172" t="n">
        <v>1</v>
      </c>
      <c r="N236" t="n">
        <v>0.7355</v>
      </c>
      <c r="O236" s="172" t="n">
        <v>0</v>
      </c>
      <c r="P236" t="n">
        <v>0</v>
      </c>
      <c r="Q236" s="172" t="n">
        <v>2</v>
      </c>
      <c r="R236" s="172" t="n">
        <v>0</v>
      </c>
      <c r="S236" s="172" t="inlineStr">
        <is>
          <t>Census PEP Vintage 2019</t>
        </is>
      </c>
      <c r="T236" s="172" t="inlineStr">
        <is>
          <t>https://www2.census.gov/programs-surveys/popest/datasets/2010-2019/national/totals/nst-est2019-alldata.csv</t>
        </is>
      </c>
    </row>
    <row r="237">
      <c r="A237" s="172" t="n">
        <v>2019</v>
      </c>
      <c r="B237" t="inlineStr">
        <is>
          <t>NJ</t>
        </is>
      </c>
      <c r="C237" t="inlineStr">
        <is>
          <t>34</t>
        </is>
      </c>
      <c r="D237" t="inlineStr">
        <is>
          <t>New Jersey</t>
        </is>
      </c>
      <c r="E237" s="172" t="n">
        <v>12</v>
      </c>
      <c r="F237" s="172" t="n">
        <v>8882190</v>
      </c>
      <c r="G237" s="172" t="n">
        <v>0.1351</v>
      </c>
      <c r="H237" s="172" t="n">
        <v>1.351</v>
      </c>
      <c r="I237" s="172" t="n">
        <v>0</v>
      </c>
      <c r="J237" t="n">
        <v>0</v>
      </c>
      <c r="K237" s="172" t="n">
        <v>7</v>
      </c>
      <c r="L237" t="n">
        <v>0.7881</v>
      </c>
      <c r="M237" s="172" t="n">
        <v>2</v>
      </c>
      <c r="N237" t="n">
        <v>0.2252</v>
      </c>
      <c r="O237" s="172" t="n">
        <v>1</v>
      </c>
      <c r="P237" t="n">
        <v>0.1126</v>
      </c>
      <c r="Q237" s="172" t="n">
        <v>10</v>
      </c>
      <c r="R237" s="172" t="n">
        <v>2</v>
      </c>
      <c r="S237" s="172" t="inlineStr">
        <is>
          <t>Census PEP Vintage 2019</t>
        </is>
      </c>
      <c r="T237" s="172" t="inlineStr">
        <is>
          <t>https://www2.census.gov/programs-surveys/popest/datasets/2010-2019/national/totals/nst-est2019-alldata.csv</t>
        </is>
      </c>
    </row>
    <row r="238">
      <c r="A238" s="172" t="n">
        <v>2019</v>
      </c>
      <c r="B238" t="inlineStr">
        <is>
          <t>NM</t>
        </is>
      </c>
      <c r="C238" t="inlineStr">
        <is>
          <t>35</t>
        </is>
      </c>
      <c r="D238" t="inlineStr">
        <is>
          <t>New Mexico</t>
        </is>
      </c>
      <c r="E238" s="172" t="n">
        <v>18</v>
      </c>
      <c r="F238" s="172" t="n">
        <v>2096829</v>
      </c>
      <c r="G238" s="172" t="n">
        <v>0.8584000000000001</v>
      </c>
      <c r="H238" s="172" t="n">
        <v>8.5844</v>
      </c>
      <c r="I238" s="172" t="n">
        <v>0</v>
      </c>
      <c r="J238" t="n">
        <v>0</v>
      </c>
      <c r="K238" s="172" t="n">
        <v>13</v>
      </c>
      <c r="L238" t="n">
        <v>6.1998</v>
      </c>
      <c r="M238" s="172" t="n">
        <v>1</v>
      </c>
      <c r="N238" t="n">
        <v>0.4769</v>
      </c>
      <c r="O238" s="172" t="n">
        <v>1</v>
      </c>
      <c r="P238" t="n">
        <v>0.4769</v>
      </c>
      <c r="Q238" s="172" t="n">
        <v>12</v>
      </c>
      <c r="R238" s="172" t="n">
        <v>6</v>
      </c>
      <c r="S238" s="172" t="inlineStr">
        <is>
          <t>Census PEP Vintage 2019</t>
        </is>
      </c>
      <c r="T238" s="172" t="inlineStr">
        <is>
          <t>https://www2.census.gov/programs-surveys/popest/datasets/2010-2019/national/totals/nst-est2019-alldata.csv</t>
        </is>
      </c>
    </row>
    <row r="239">
      <c r="A239" s="172" t="n">
        <v>2019</v>
      </c>
      <c r="B239" t="inlineStr">
        <is>
          <t>NV</t>
        </is>
      </c>
      <c r="C239" t="inlineStr">
        <is>
          <t>32</t>
        </is>
      </c>
      <c r="D239" t="inlineStr">
        <is>
          <t>Nevada</t>
        </is>
      </c>
      <c r="E239" s="172" t="n">
        <v>11</v>
      </c>
      <c r="F239" s="172" t="n">
        <v>3080156</v>
      </c>
      <c r="G239" s="172" t="n">
        <v>0.3571</v>
      </c>
      <c r="H239" s="172" t="n">
        <v>3.5712</v>
      </c>
      <c r="I239" s="172" t="n">
        <v>1</v>
      </c>
      <c r="J239" t="n">
        <v>0.3247</v>
      </c>
      <c r="K239" s="172" t="n">
        <v>8</v>
      </c>
      <c r="L239" t="n">
        <v>2.5973</v>
      </c>
      <c r="M239" s="172" t="n">
        <v>3</v>
      </c>
      <c r="N239" t="n">
        <v>0.974</v>
      </c>
      <c r="O239" s="172" t="n">
        <v>4</v>
      </c>
      <c r="P239" t="n">
        <v>1.2986</v>
      </c>
      <c r="Q239" s="172" t="n">
        <v>10</v>
      </c>
      <c r="R239" s="172" t="n">
        <v>1</v>
      </c>
      <c r="S239" s="172" t="inlineStr">
        <is>
          <t>Census PEP Vintage 2019</t>
        </is>
      </c>
      <c r="T239" s="172" t="inlineStr">
        <is>
          <t>https://www2.census.gov/programs-surveys/popest/datasets/2010-2019/national/totals/nst-est2019-alldata.csv</t>
        </is>
      </c>
    </row>
    <row r="240">
      <c r="A240" s="172" t="n">
        <v>2019</v>
      </c>
      <c r="B240" t="inlineStr">
        <is>
          <t>NY</t>
        </is>
      </c>
      <c r="C240" t="inlineStr">
        <is>
          <t>36</t>
        </is>
      </c>
      <c r="D240" t="inlineStr">
        <is>
          <t>New York</t>
        </is>
      </c>
      <c r="E240" s="172" t="n">
        <v>22</v>
      </c>
      <c r="F240" s="172" t="n">
        <v>19453561</v>
      </c>
      <c r="G240" s="172" t="n">
        <v>0.1131</v>
      </c>
      <c r="H240" s="172" t="n">
        <v>1.1309</v>
      </c>
      <c r="I240" s="172" t="n">
        <v>1</v>
      </c>
      <c r="J240" t="n">
        <v>0.0514</v>
      </c>
      <c r="K240" s="172" t="n">
        <v>12</v>
      </c>
      <c r="L240" t="n">
        <v>0.6169</v>
      </c>
      <c r="M240" s="172" t="n">
        <v>7</v>
      </c>
      <c r="N240" t="n">
        <v>0.3598</v>
      </c>
      <c r="O240" s="172" t="n">
        <v>5</v>
      </c>
      <c r="P240" t="n">
        <v>0.257</v>
      </c>
      <c r="Q240" s="172" t="n">
        <v>22</v>
      </c>
      <c r="R240" s="172" t="n">
        <v>0</v>
      </c>
      <c r="S240" s="172" t="inlineStr">
        <is>
          <t>Census PEP Vintage 2019</t>
        </is>
      </c>
      <c r="T240" s="172" t="inlineStr">
        <is>
          <t>https://www2.census.gov/programs-surveys/popest/datasets/2010-2019/national/totals/nst-est2019-alldata.csv</t>
        </is>
      </c>
    </row>
    <row r="241">
      <c r="A241" s="172" t="n">
        <v>2019</v>
      </c>
      <c r="B241" t="inlineStr">
        <is>
          <t>OH</t>
        </is>
      </c>
      <c r="C241" t="inlineStr">
        <is>
          <t>39</t>
        </is>
      </c>
      <c r="D241" t="inlineStr">
        <is>
          <t>Ohio</t>
        </is>
      </c>
      <c r="E241" s="172" t="n">
        <v>24</v>
      </c>
      <c r="F241" s="172" t="n">
        <v>11689100</v>
      </c>
      <c r="G241" s="172" t="n">
        <v>0.2053</v>
      </c>
      <c r="H241" s="172" t="n">
        <v>2.0532</v>
      </c>
      <c r="I241" s="172" t="n">
        <v>1</v>
      </c>
      <c r="J241" t="n">
        <v>0.08550000000000001</v>
      </c>
      <c r="K241" s="172" t="n">
        <v>13</v>
      </c>
      <c r="L241" t="n">
        <v>1.1121</v>
      </c>
      <c r="M241" s="172" t="n">
        <v>7</v>
      </c>
      <c r="N241" t="n">
        <v>0.5988</v>
      </c>
      <c r="O241" s="172" t="n">
        <v>3</v>
      </c>
      <c r="P241" t="n">
        <v>0.2566</v>
      </c>
      <c r="Q241" s="172" t="n">
        <v>23</v>
      </c>
      <c r="R241" s="172" t="n">
        <v>1</v>
      </c>
      <c r="S241" s="172" t="inlineStr">
        <is>
          <t>Census PEP Vintage 2019</t>
        </is>
      </c>
      <c r="T241" s="172" t="inlineStr">
        <is>
          <t>https://www2.census.gov/programs-surveys/popest/datasets/2010-2019/national/totals/nst-est2019-alldata.csv</t>
        </is>
      </c>
    </row>
    <row r="242">
      <c r="A242" s="172" t="n">
        <v>2019</v>
      </c>
      <c r="B242" t="inlineStr">
        <is>
          <t>OK</t>
        </is>
      </c>
      <c r="C242" t="inlineStr">
        <is>
          <t>40</t>
        </is>
      </c>
      <c r="D242" t="inlineStr">
        <is>
          <t>Oklahoma</t>
        </is>
      </c>
      <c r="E242" s="172" t="n">
        <v>34</v>
      </c>
      <c r="F242" s="172" t="n">
        <v>3956971</v>
      </c>
      <c r="G242" s="172" t="n">
        <v>0.8592</v>
      </c>
      <c r="H242" s="172" t="n">
        <v>8.5924</v>
      </c>
      <c r="I242" s="172" t="n">
        <v>2</v>
      </c>
      <c r="J242" t="n">
        <v>0.5054</v>
      </c>
      <c r="K242" s="172" t="n">
        <v>21</v>
      </c>
      <c r="L242" t="n">
        <v>5.3071</v>
      </c>
      <c r="M242" s="172" t="n">
        <v>6</v>
      </c>
      <c r="N242" t="n">
        <v>1.5163</v>
      </c>
      <c r="O242" s="172" t="n">
        <v>11</v>
      </c>
      <c r="P242" t="n">
        <v>2.7799</v>
      </c>
      <c r="Q242" s="172" t="n">
        <v>34</v>
      </c>
      <c r="R242" s="172" t="n">
        <v>0</v>
      </c>
      <c r="S242" s="172" t="inlineStr">
        <is>
          <t>Census PEP Vintage 2019</t>
        </is>
      </c>
      <c r="T242" s="172" t="inlineStr">
        <is>
          <t>https://www2.census.gov/programs-surveys/popest/datasets/2010-2019/national/totals/nst-est2019-alldata.csv</t>
        </is>
      </c>
    </row>
    <row r="243">
      <c r="A243" s="172" t="n">
        <v>2019</v>
      </c>
      <c r="B243" t="inlineStr">
        <is>
          <t>OR</t>
        </is>
      </c>
      <c r="C243" t="inlineStr">
        <is>
          <t>41</t>
        </is>
      </c>
      <c r="D243" t="inlineStr">
        <is>
          <t>Oregon</t>
        </is>
      </c>
      <c r="E243" s="172" t="n">
        <v>18</v>
      </c>
      <c r="F243" s="172" t="n">
        <v>4217737</v>
      </c>
      <c r="G243" s="172" t="n">
        <v>0.4268</v>
      </c>
      <c r="H243" s="172" t="n">
        <v>4.2677</v>
      </c>
      <c r="I243" s="172" t="n">
        <v>1</v>
      </c>
      <c r="J243" t="n">
        <v>0.2371</v>
      </c>
      <c r="K243" s="172" t="n">
        <v>8</v>
      </c>
      <c r="L243" t="n">
        <v>1.8968</v>
      </c>
      <c r="M243" s="172" t="n">
        <v>5</v>
      </c>
      <c r="N243" t="n">
        <v>1.1855</v>
      </c>
      <c r="O243" s="172" t="n">
        <v>1</v>
      </c>
      <c r="P243" t="n">
        <v>0.2371</v>
      </c>
      <c r="Q243" s="172" t="n">
        <v>16</v>
      </c>
      <c r="R243" s="172" t="n">
        <v>2</v>
      </c>
      <c r="S243" s="172" t="inlineStr">
        <is>
          <t>Census PEP Vintage 2019</t>
        </is>
      </c>
      <c r="T243" s="172" t="inlineStr">
        <is>
          <t>https://www2.census.gov/programs-surveys/popest/datasets/2010-2019/national/totals/nst-est2019-alldata.csv</t>
        </is>
      </c>
    </row>
    <row r="244">
      <c r="A244" s="172" t="n">
        <v>2019</v>
      </c>
      <c r="B244" t="inlineStr">
        <is>
          <t>PA</t>
        </is>
      </c>
      <c r="C244" t="inlineStr">
        <is>
          <t>42</t>
        </is>
      </c>
      <c r="D244" t="inlineStr">
        <is>
          <t>Pennsylvania</t>
        </is>
      </c>
      <c r="E244" s="172" t="n">
        <v>14</v>
      </c>
      <c r="F244" s="172" t="n">
        <v>12801989</v>
      </c>
      <c r="G244" s="172" t="n">
        <v>0.1094</v>
      </c>
      <c r="H244" s="172" t="n">
        <v>1.0936</v>
      </c>
      <c r="I244" s="172" t="n">
        <v>0</v>
      </c>
      <c r="J244" t="n">
        <v>0</v>
      </c>
      <c r="K244" s="172" t="n">
        <v>10</v>
      </c>
      <c r="L244" t="n">
        <v>0.7811</v>
      </c>
      <c r="M244" s="172" t="n">
        <v>6</v>
      </c>
      <c r="N244" t="n">
        <v>0.4687</v>
      </c>
      <c r="O244" s="172" t="n">
        <v>0</v>
      </c>
      <c r="P244" t="n">
        <v>0</v>
      </c>
      <c r="Q244" s="172" t="n">
        <v>12</v>
      </c>
      <c r="R244" s="172" t="n">
        <v>2</v>
      </c>
      <c r="S244" s="172" t="inlineStr">
        <is>
          <t>Census PEP Vintage 2019</t>
        </is>
      </c>
      <c r="T244" s="172" t="inlineStr">
        <is>
          <t>https://www2.census.gov/programs-surveys/popest/datasets/2010-2019/national/totals/nst-est2019-alldata.csv</t>
        </is>
      </c>
    </row>
    <row r="245">
      <c r="A245" s="172" t="n">
        <v>2019</v>
      </c>
      <c r="B245" t="inlineStr">
        <is>
          <t>RI</t>
        </is>
      </c>
      <c r="C245" t="inlineStr">
        <is>
          <t>44</t>
        </is>
      </c>
      <c r="D245" t="inlineStr">
        <is>
          <t>Rhode Island</t>
        </is>
      </c>
      <c r="E245" s="172" t="n">
        <v>0</v>
      </c>
      <c r="F245" s="172" t="n">
        <v>1059361</v>
      </c>
      <c r="G245" s="172" t="n">
        <v>0</v>
      </c>
      <c r="H245" s="172" t="n">
        <v>0</v>
      </c>
      <c r="I245" s="172" t="n">
        <v>0</v>
      </c>
      <c r="J245" t="n">
        <v>0</v>
      </c>
      <c r="K245" s="172" t="n">
        <v>0</v>
      </c>
      <c r="L245" t="n">
        <v>0</v>
      </c>
      <c r="M245" s="172" t="n">
        <v>0</v>
      </c>
      <c r="N245" t="n">
        <v>0</v>
      </c>
      <c r="O245" s="172" t="n">
        <v>0</v>
      </c>
      <c r="P245" t="n">
        <v>0</v>
      </c>
      <c r="Q245" s="172" t="n">
        <v>0</v>
      </c>
      <c r="R245" s="172" t="n">
        <v>0</v>
      </c>
      <c r="S245" s="172" t="inlineStr">
        <is>
          <t>Census PEP Vintage 2019</t>
        </is>
      </c>
      <c r="T245" s="172" t="inlineStr">
        <is>
          <t>https://www2.census.gov/programs-surveys/popest/datasets/2010-2019/national/totals/nst-est2019-alldata.csv</t>
        </is>
      </c>
    </row>
    <row r="246">
      <c r="A246" s="172" t="n">
        <v>2019</v>
      </c>
      <c r="B246" t="inlineStr">
        <is>
          <t>SC</t>
        </is>
      </c>
      <c r="C246" t="inlineStr">
        <is>
          <t>45</t>
        </is>
      </c>
      <c r="D246" t="inlineStr">
        <is>
          <t>South Carolina</t>
        </is>
      </c>
      <c r="E246" s="172" t="n">
        <v>18</v>
      </c>
      <c r="F246" s="172" t="n">
        <v>5148714</v>
      </c>
      <c r="G246" s="172" t="n">
        <v>0.3496</v>
      </c>
      <c r="H246" s="172" t="n">
        <v>3.496</v>
      </c>
      <c r="I246" s="172" t="n">
        <v>0</v>
      </c>
      <c r="J246" t="n">
        <v>0</v>
      </c>
      <c r="K246" s="172" t="n">
        <v>14</v>
      </c>
      <c r="L246" t="n">
        <v>2.7191</v>
      </c>
      <c r="M246" s="172" t="n">
        <v>3</v>
      </c>
      <c r="N246" t="n">
        <v>0.5827</v>
      </c>
      <c r="O246" s="172" t="n">
        <v>3</v>
      </c>
      <c r="P246" t="n">
        <v>0.5827</v>
      </c>
      <c r="Q246" s="172" t="n">
        <v>14</v>
      </c>
      <c r="R246" s="172" t="n">
        <v>4</v>
      </c>
      <c r="S246" s="172" t="inlineStr">
        <is>
          <t>Census PEP Vintage 2019</t>
        </is>
      </c>
      <c r="T246" s="172" t="inlineStr">
        <is>
          <t>https://www2.census.gov/programs-surveys/popest/datasets/2010-2019/national/totals/nst-est2019-alldata.csv</t>
        </is>
      </c>
    </row>
    <row r="247">
      <c r="A247" s="172" t="n">
        <v>2019</v>
      </c>
      <c r="B247" t="inlineStr">
        <is>
          <t>SD</t>
        </is>
      </c>
      <c r="C247" t="inlineStr">
        <is>
          <t>46</t>
        </is>
      </c>
      <c r="D247" t="inlineStr">
        <is>
          <t>South Dakota</t>
        </is>
      </c>
      <c r="E247" s="172" t="n">
        <v>3</v>
      </c>
      <c r="F247" s="172" t="n">
        <v>884659</v>
      </c>
      <c r="G247" s="172" t="n">
        <v>0.3391</v>
      </c>
      <c r="H247" s="172" t="n">
        <v>3.3911</v>
      </c>
      <c r="I247" s="172" t="n">
        <v>0</v>
      </c>
      <c r="J247" t="n">
        <v>0</v>
      </c>
      <c r="K247" s="172" t="n">
        <v>2</v>
      </c>
      <c r="L247" t="n">
        <v>2.2608</v>
      </c>
      <c r="M247" s="172" t="n">
        <v>1</v>
      </c>
      <c r="N247" t="n">
        <v>1.1304</v>
      </c>
      <c r="O247" s="172" t="n">
        <v>0</v>
      </c>
      <c r="P247" t="n">
        <v>0</v>
      </c>
      <c r="Q247" s="172" t="n">
        <v>3</v>
      </c>
      <c r="R247" s="172" t="n">
        <v>0</v>
      </c>
      <c r="S247" s="172" t="inlineStr">
        <is>
          <t>Census PEP Vintage 2019</t>
        </is>
      </c>
      <c r="T247" s="172" t="inlineStr">
        <is>
          <t>https://www2.census.gov/programs-surveys/popest/datasets/2010-2019/national/totals/nst-est2019-alldata.csv</t>
        </is>
      </c>
    </row>
    <row r="248">
      <c r="A248" s="172" t="n">
        <v>2019</v>
      </c>
      <c r="B248" t="inlineStr">
        <is>
          <t>TN</t>
        </is>
      </c>
      <c r="C248" t="inlineStr">
        <is>
          <t>47</t>
        </is>
      </c>
      <c r="D248" t="inlineStr">
        <is>
          <t>Tennessee</t>
        </is>
      </c>
      <c r="E248" s="172" t="n">
        <v>33</v>
      </c>
      <c r="F248" s="172" t="n">
        <v>6829174</v>
      </c>
      <c r="G248" s="172" t="n">
        <v>0.4832</v>
      </c>
      <c r="H248" s="172" t="n">
        <v>4.8322</v>
      </c>
      <c r="I248" s="172" t="n">
        <v>1</v>
      </c>
      <c r="J248" t="n">
        <v>0.1464</v>
      </c>
      <c r="K248" s="172" t="n">
        <v>18</v>
      </c>
      <c r="L248" t="n">
        <v>2.6358</v>
      </c>
      <c r="M248" s="172" t="n">
        <v>6</v>
      </c>
      <c r="N248" t="n">
        <v>0.8786</v>
      </c>
      <c r="O248" s="172" t="n">
        <v>2</v>
      </c>
      <c r="P248" t="n">
        <v>0.2929</v>
      </c>
      <c r="Q248" s="172" t="n">
        <v>31</v>
      </c>
      <c r="R248" s="172" t="n">
        <v>2</v>
      </c>
      <c r="S248" s="172" t="inlineStr">
        <is>
          <t>Census PEP Vintage 2019</t>
        </is>
      </c>
      <c r="T248" s="172" t="inlineStr">
        <is>
          <t>https://www2.census.gov/programs-surveys/popest/datasets/2010-2019/national/totals/nst-est2019-alldata.csv</t>
        </is>
      </c>
    </row>
    <row r="249">
      <c r="A249" s="172" t="n">
        <v>2019</v>
      </c>
      <c r="B249" t="inlineStr">
        <is>
          <t>TX</t>
        </is>
      </c>
      <c r="C249" t="inlineStr">
        <is>
          <t>48</t>
        </is>
      </c>
      <c r="D249" t="inlineStr">
        <is>
          <t>Texas</t>
        </is>
      </c>
      <c r="E249" s="172" t="n">
        <v>106</v>
      </c>
      <c r="F249" s="172" t="n">
        <v>28995881</v>
      </c>
      <c r="G249" s="172" t="n">
        <v>0.3656</v>
      </c>
      <c r="H249" s="172" t="n">
        <v>3.6557</v>
      </c>
      <c r="I249" s="172" t="n">
        <v>10</v>
      </c>
      <c r="J249" t="n">
        <v>0.3449</v>
      </c>
      <c r="K249" s="172" t="n">
        <v>65</v>
      </c>
      <c r="L249" t="n">
        <v>2.2417</v>
      </c>
      <c r="M249" s="172" t="n">
        <v>19</v>
      </c>
      <c r="N249" t="n">
        <v>0.6553</v>
      </c>
      <c r="O249" s="172" t="n">
        <v>12</v>
      </c>
      <c r="P249" t="n">
        <v>0.4139</v>
      </c>
      <c r="Q249" s="172" t="n">
        <v>104</v>
      </c>
      <c r="R249" s="172" t="n">
        <v>2</v>
      </c>
      <c r="S249" s="172" t="inlineStr">
        <is>
          <t>Census PEP Vintage 2019</t>
        </is>
      </c>
      <c r="T249" s="172" t="inlineStr">
        <is>
          <t>https://www2.census.gov/programs-surveys/popest/datasets/2010-2019/national/totals/nst-est2019-alldata.csv</t>
        </is>
      </c>
    </row>
    <row r="250">
      <c r="A250" s="172" t="n">
        <v>2019</v>
      </c>
      <c r="B250" t="inlineStr">
        <is>
          <t>UT</t>
        </is>
      </c>
      <c r="C250" t="inlineStr">
        <is>
          <t>49</t>
        </is>
      </c>
      <c r="D250" t="inlineStr">
        <is>
          <t>Utah</t>
        </is>
      </c>
      <c r="E250" s="172" t="n">
        <v>12</v>
      </c>
      <c r="F250" s="172" t="n">
        <v>3205958</v>
      </c>
      <c r="G250" s="172" t="n">
        <v>0.3743</v>
      </c>
      <c r="H250" s="172" t="n">
        <v>3.743</v>
      </c>
      <c r="I250" s="172" t="n">
        <v>1</v>
      </c>
      <c r="J250" t="n">
        <v>0.3119</v>
      </c>
      <c r="K250" s="172" t="n">
        <v>4</v>
      </c>
      <c r="L250" t="n">
        <v>1.2477</v>
      </c>
      <c r="M250" s="172" t="n">
        <v>2</v>
      </c>
      <c r="N250" t="n">
        <v>0.6238</v>
      </c>
      <c r="O250" s="172" t="n">
        <v>5</v>
      </c>
      <c r="P250" t="n">
        <v>1.5596</v>
      </c>
      <c r="Q250" s="172" t="n">
        <v>11</v>
      </c>
      <c r="R250" s="172" t="n">
        <v>1</v>
      </c>
      <c r="S250" s="172" t="inlineStr">
        <is>
          <t>Census PEP Vintage 2019</t>
        </is>
      </c>
      <c r="T250" s="172" t="inlineStr">
        <is>
          <t>https://www2.census.gov/programs-surveys/popest/datasets/2010-2019/national/totals/nst-est2019-alldata.csv</t>
        </is>
      </c>
    </row>
    <row r="251">
      <c r="A251" s="172" t="n">
        <v>2019</v>
      </c>
      <c r="B251" t="inlineStr">
        <is>
          <t>VA</t>
        </is>
      </c>
      <c r="C251" t="inlineStr">
        <is>
          <t>51</t>
        </is>
      </c>
      <c r="D251" t="inlineStr">
        <is>
          <t>Virginia</t>
        </is>
      </c>
      <c r="E251" s="172" t="n">
        <v>10</v>
      </c>
      <c r="F251" s="172" t="n">
        <v>8535519</v>
      </c>
      <c r="G251" s="172" t="n">
        <v>0.1172</v>
      </c>
      <c r="H251" s="172" t="n">
        <v>1.1716</v>
      </c>
      <c r="I251" s="172" t="n">
        <v>0</v>
      </c>
      <c r="J251" t="n">
        <v>0</v>
      </c>
      <c r="K251" s="172" t="n">
        <v>5</v>
      </c>
      <c r="L251" t="n">
        <v>0.5858</v>
      </c>
      <c r="M251" s="172" t="n">
        <v>2</v>
      </c>
      <c r="N251" t="n">
        <v>0.2343</v>
      </c>
      <c r="O251" s="172" t="n">
        <v>1</v>
      </c>
      <c r="P251" t="n">
        <v>0.1172</v>
      </c>
      <c r="Q251" s="172" t="n">
        <v>9</v>
      </c>
      <c r="R251" s="172" t="n">
        <v>1</v>
      </c>
      <c r="S251" s="172" t="inlineStr">
        <is>
          <t>Census PEP Vintage 2019</t>
        </is>
      </c>
      <c r="T251" s="172" t="inlineStr">
        <is>
          <t>https://www2.census.gov/programs-surveys/popest/datasets/2010-2019/national/totals/nst-est2019-alldata.csv</t>
        </is>
      </c>
    </row>
    <row r="252">
      <c r="A252" s="172" t="n">
        <v>2019</v>
      </c>
      <c r="B252" t="inlineStr">
        <is>
          <t>VT</t>
        </is>
      </c>
      <c r="C252" t="inlineStr">
        <is>
          <t>50</t>
        </is>
      </c>
      <c r="D252" t="inlineStr">
        <is>
          <t>Vermont</t>
        </is>
      </c>
      <c r="E252" s="172" t="n">
        <v>3</v>
      </c>
      <c r="F252" s="172" t="n">
        <v>623989</v>
      </c>
      <c r="G252" s="172" t="n">
        <v>0.4808</v>
      </c>
      <c r="H252" s="172" t="n">
        <v>4.8078</v>
      </c>
      <c r="I252" s="172" t="n">
        <v>0</v>
      </c>
      <c r="J252" t="n">
        <v>0</v>
      </c>
      <c r="K252" s="172" t="n">
        <v>2</v>
      </c>
      <c r="L252" t="n">
        <v>3.2052</v>
      </c>
      <c r="M252" s="172" t="n">
        <v>1</v>
      </c>
      <c r="N252" t="n">
        <v>1.6026</v>
      </c>
      <c r="O252" s="172" t="n">
        <v>0</v>
      </c>
      <c r="P252" t="n">
        <v>0</v>
      </c>
      <c r="Q252" s="172" t="n">
        <v>3</v>
      </c>
      <c r="R252" s="172" t="n">
        <v>0</v>
      </c>
      <c r="S252" s="172" t="inlineStr">
        <is>
          <t>Census PEP Vintage 2019</t>
        </is>
      </c>
      <c r="T252" s="172" t="inlineStr">
        <is>
          <t>https://www2.census.gov/programs-surveys/popest/datasets/2010-2019/national/totals/nst-est2019-alldata.csv</t>
        </is>
      </c>
    </row>
    <row r="253">
      <c r="A253" s="172" t="n">
        <v>2019</v>
      </c>
      <c r="B253" t="inlineStr">
        <is>
          <t>WA</t>
        </is>
      </c>
      <c r="C253" t="inlineStr">
        <is>
          <t>53</t>
        </is>
      </c>
      <c r="D253" t="inlineStr">
        <is>
          <t>Washington</t>
        </is>
      </c>
      <c r="E253" s="172" t="n">
        <v>36</v>
      </c>
      <c r="F253" s="172" t="n">
        <v>7614893</v>
      </c>
      <c r="G253" s="172" t="n">
        <v>0.4728</v>
      </c>
      <c r="H253" s="172" t="n">
        <v>4.7276</v>
      </c>
      <c r="I253" s="172" t="n">
        <v>3</v>
      </c>
      <c r="J253" t="n">
        <v>0.394</v>
      </c>
      <c r="K253" s="172" t="n">
        <v>12</v>
      </c>
      <c r="L253" t="n">
        <v>1.5759</v>
      </c>
      <c r="M253" s="172" t="n">
        <v>13</v>
      </c>
      <c r="N253" t="n">
        <v>1.7072</v>
      </c>
      <c r="O253" s="172" t="n">
        <v>4</v>
      </c>
      <c r="P253" t="n">
        <v>0.5253</v>
      </c>
      <c r="Q253" s="172" t="n">
        <v>31</v>
      </c>
      <c r="R253" s="172" t="n">
        <v>5</v>
      </c>
      <c r="S253" s="172" t="inlineStr">
        <is>
          <t>Census PEP Vintage 2019</t>
        </is>
      </c>
      <c r="T253" s="172" t="inlineStr">
        <is>
          <t>https://www2.census.gov/programs-surveys/popest/datasets/2010-2019/national/totals/nst-est2019-alldata.csv</t>
        </is>
      </c>
    </row>
    <row r="254">
      <c r="A254" s="172" t="n">
        <v>2019</v>
      </c>
      <c r="B254" t="inlineStr">
        <is>
          <t>WI</t>
        </is>
      </c>
      <c r="C254" t="inlineStr">
        <is>
          <t>55</t>
        </is>
      </c>
      <c r="D254" t="inlineStr">
        <is>
          <t>Wisconsin</t>
        </is>
      </c>
      <c r="E254" s="172" t="n">
        <v>18</v>
      </c>
      <c r="F254" s="172" t="n">
        <v>5822434</v>
      </c>
      <c r="G254" s="172" t="n">
        <v>0.3091</v>
      </c>
      <c r="H254" s="172" t="n">
        <v>3.0915</v>
      </c>
      <c r="I254" s="172" t="n">
        <v>1</v>
      </c>
      <c r="J254" t="n">
        <v>0.1717</v>
      </c>
      <c r="K254" s="172" t="n">
        <v>11</v>
      </c>
      <c r="L254" t="n">
        <v>1.8892</v>
      </c>
      <c r="M254" s="172" t="n">
        <v>5</v>
      </c>
      <c r="N254" t="n">
        <v>0.8587</v>
      </c>
      <c r="O254" s="172" t="n">
        <v>1</v>
      </c>
      <c r="P254" t="n">
        <v>0.1717</v>
      </c>
      <c r="Q254" s="172" t="n">
        <v>18</v>
      </c>
      <c r="R254" s="172" t="n">
        <v>0</v>
      </c>
      <c r="S254" s="172" t="inlineStr">
        <is>
          <t>Census PEP Vintage 2019</t>
        </is>
      </c>
      <c r="T254" s="172" t="inlineStr">
        <is>
          <t>https://www2.census.gov/programs-surveys/popest/datasets/2010-2019/national/totals/nst-est2019-alldata.csv</t>
        </is>
      </c>
    </row>
    <row r="255">
      <c r="A255" s="172" t="n">
        <v>2019</v>
      </c>
      <c r="B255" t="inlineStr">
        <is>
          <t>WV</t>
        </is>
      </c>
      <c r="C255" t="inlineStr">
        <is>
          <t>54</t>
        </is>
      </c>
      <c r="D255" t="inlineStr">
        <is>
          <t>West Virginia</t>
        </is>
      </c>
      <c r="E255" s="172" t="n">
        <v>13</v>
      </c>
      <c r="F255" s="172" t="n">
        <v>1792147</v>
      </c>
      <c r="G255" s="172" t="n">
        <v>0.7254</v>
      </c>
      <c r="H255" s="172" t="n">
        <v>7.2539</v>
      </c>
      <c r="I255" s="172" t="n">
        <v>1</v>
      </c>
      <c r="J255" t="n">
        <v>0.5580000000000001</v>
      </c>
      <c r="K255" s="172" t="n">
        <v>10</v>
      </c>
      <c r="L255" t="n">
        <v>5.5799</v>
      </c>
      <c r="M255" s="172" t="n">
        <v>2</v>
      </c>
      <c r="N255" t="n">
        <v>1.116</v>
      </c>
      <c r="O255" s="172" t="n">
        <v>1</v>
      </c>
      <c r="P255" t="n">
        <v>0.5580000000000001</v>
      </c>
      <c r="Q255" s="172" t="n">
        <v>12</v>
      </c>
      <c r="R255" s="172" t="n">
        <v>1</v>
      </c>
      <c r="S255" s="172" t="inlineStr">
        <is>
          <t>Census PEP Vintage 2019</t>
        </is>
      </c>
      <c r="T255" s="172" t="inlineStr">
        <is>
          <t>https://www2.census.gov/programs-surveys/popest/datasets/2010-2019/national/totals/nst-est2019-alldata.csv</t>
        </is>
      </c>
    </row>
    <row r="256">
      <c r="A256" s="172" t="n">
        <v>2019</v>
      </c>
      <c r="B256" t="inlineStr">
        <is>
          <t>WY</t>
        </is>
      </c>
      <c r="C256" t="inlineStr">
        <is>
          <t>56</t>
        </is>
      </c>
      <c r="D256" t="inlineStr">
        <is>
          <t>Wyoming</t>
        </is>
      </c>
      <c r="E256" s="172" t="n">
        <v>1</v>
      </c>
      <c r="F256" s="172" t="n">
        <v>578759</v>
      </c>
      <c r="G256" s="172" t="n">
        <v>0.1728</v>
      </c>
      <c r="H256" s="172" t="n">
        <v>1.7278</v>
      </c>
      <c r="I256" s="172" t="n">
        <v>0</v>
      </c>
      <c r="J256" t="n">
        <v>0</v>
      </c>
      <c r="K256" s="172" t="n">
        <v>0</v>
      </c>
      <c r="L256" t="n">
        <v>0</v>
      </c>
      <c r="M256" s="172" t="n">
        <v>1</v>
      </c>
      <c r="N256" t="n">
        <v>1.7278</v>
      </c>
      <c r="O256" s="172" t="n">
        <v>0</v>
      </c>
      <c r="P256" t="n">
        <v>0</v>
      </c>
      <c r="Q256" s="172" t="n">
        <v>1</v>
      </c>
      <c r="R256" s="172" t="n">
        <v>0</v>
      </c>
      <c r="S256" s="172" t="inlineStr">
        <is>
          <t>Census PEP Vintage 2019</t>
        </is>
      </c>
      <c r="T256" s="172" t="inlineStr">
        <is>
          <t>https://www2.census.gov/programs-surveys/popest/datasets/2010-2019/national/totals/nst-est2019-alldata.csv</t>
        </is>
      </c>
    </row>
    <row r="257">
      <c r="A257" s="172" t="n">
        <v>2020</v>
      </c>
      <c r="B257" t="inlineStr">
        <is>
          <t>AK</t>
        </is>
      </c>
      <c r="C257" t="inlineStr">
        <is>
          <t>02</t>
        </is>
      </c>
      <c r="D257" t="inlineStr">
        <is>
          <t>Alaska</t>
        </is>
      </c>
      <c r="E257" s="172" t="n">
        <v>9</v>
      </c>
      <c r="F257" s="172" t="n">
        <v>732906</v>
      </c>
      <c r="G257" s="172" t="n">
        <v>1.228</v>
      </c>
      <c r="H257" s="172" t="n">
        <v>12.2799</v>
      </c>
      <c r="I257" s="172" t="n">
        <v>2</v>
      </c>
      <c r="J257" t="n">
        <v>2.7289</v>
      </c>
      <c r="K257" s="172" t="n">
        <v>7</v>
      </c>
      <c r="L257" t="n">
        <v>9.551</v>
      </c>
      <c r="M257" s="172" t="n">
        <v>1</v>
      </c>
      <c r="N257" t="n">
        <v>1.3644</v>
      </c>
      <c r="O257" s="172" t="n">
        <v>0</v>
      </c>
      <c r="P257" t="n">
        <v>0</v>
      </c>
      <c r="Q257" s="172" t="n">
        <v>9</v>
      </c>
      <c r="R257" s="172" t="n">
        <v>0</v>
      </c>
      <c r="S257" s="172" t="inlineStr">
        <is>
          <t>Census PEP Vintage 2025</t>
        </is>
      </c>
      <c r="T257" s="172" t="inlineStr">
        <is>
          <t>https://www2.census.gov/programs-surveys/popest/datasets/2020-2025/state/totals/NST-EST2025-ALLDATA.csv</t>
        </is>
      </c>
    </row>
    <row r="258">
      <c r="A258" s="172" t="n">
        <v>2020</v>
      </c>
      <c r="B258" t="inlineStr">
        <is>
          <t>AL</t>
        </is>
      </c>
      <c r="C258" t="inlineStr">
        <is>
          <t>01</t>
        </is>
      </c>
      <c r="D258" t="inlineStr">
        <is>
          <t>Alabama</t>
        </is>
      </c>
      <c r="E258" s="172" t="n">
        <v>16</v>
      </c>
      <c r="F258" s="172" t="n">
        <v>5032962</v>
      </c>
      <c r="G258" s="172" t="n">
        <v>0.3179</v>
      </c>
      <c r="H258" s="172" t="n">
        <v>3.179</v>
      </c>
      <c r="I258" s="172" t="n">
        <v>1</v>
      </c>
      <c r="J258" t="n">
        <v>0.1987</v>
      </c>
      <c r="K258" s="172" t="n">
        <v>14</v>
      </c>
      <c r="L258" t="n">
        <v>2.7817</v>
      </c>
      <c r="M258" s="172" t="n">
        <v>4</v>
      </c>
      <c r="N258" t="n">
        <v>0.7948</v>
      </c>
      <c r="O258" s="172" t="n">
        <v>2</v>
      </c>
      <c r="P258" t="n">
        <v>0.3974</v>
      </c>
      <c r="Q258" s="172" t="n">
        <v>15</v>
      </c>
      <c r="R258" s="172" t="n">
        <v>1</v>
      </c>
      <c r="S258" s="172" t="inlineStr">
        <is>
          <t>Census PEP Vintage 2025</t>
        </is>
      </c>
      <c r="T258" s="172" t="inlineStr">
        <is>
          <t>https://www2.census.gov/programs-surveys/popest/datasets/2020-2025/state/totals/NST-EST2025-ALLDATA.csv</t>
        </is>
      </c>
    </row>
    <row r="259">
      <c r="A259" s="172" t="n">
        <v>2020</v>
      </c>
      <c r="B259" t="inlineStr">
        <is>
          <t>AR</t>
        </is>
      </c>
      <c r="C259" t="inlineStr">
        <is>
          <t>05</t>
        </is>
      </c>
      <c r="D259" t="inlineStr">
        <is>
          <t>Arkansas</t>
        </is>
      </c>
      <c r="E259" s="172" t="n">
        <v>11</v>
      </c>
      <c r="F259" s="172" t="n">
        <v>3014399</v>
      </c>
      <c r="G259" s="172" t="n">
        <v>0.3649</v>
      </c>
      <c r="H259" s="172" t="n">
        <v>3.6492</v>
      </c>
      <c r="I259" s="172" t="n">
        <v>1</v>
      </c>
      <c r="J259" t="n">
        <v>0.3317</v>
      </c>
      <c r="K259" s="172" t="n">
        <v>7</v>
      </c>
      <c r="L259" t="n">
        <v>2.3222</v>
      </c>
      <c r="M259" s="172" t="n">
        <v>3</v>
      </c>
      <c r="N259" t="n">
        <v>0.9952</v>
      </c>
      <c r="O259" s="172" t="n">
        <v>0</v>
      </c>
      <c r="P259" t="n">
        <v>0</v>
      </c>
      <c r="Q259" s="172" t="n">
        <v>11</v>
      </c>
      <c r="R259" s="172" t="n">
        <v>0</v>
      </c>
      <c r="S259" s="172" t="inlineStr">
        <is>
          <t>Census PEP Vintage 2025</t>
        </is>
      </c>
      <c r="T259" s="172" t="inlineStr">
        <is>
          <t>https://www2.census.gov/programs-surveys/popest/datasets/2020-2025/state/totals/NST-EST2025-ALLDATA.csv</t>
        </is>
      </c>
    </row>
    <row r="260">
      <c r="A260" s="172" t="n">
        <v>2020</v>
      </c>
      <c r="B260" t="inlineStr">
        <is>
          <t>AZ</t>
        </is>
      </c>
      <c r="C260" t="inlineStr">
        <is>
          <t>04</t>
        </is>
      </c>
      <c r="D260" t="inlineStr">
        <is>
          <t>Arizona</t>
        </is>
      </c>
      <c r="E260" s="172" t="n">
        <v>45</v>
      </c>
      <c r="F260" s="172" t="n">
        <v>7186647</v>
      </c>
      <c r="G260" s="172" t="n">
        <v>0.6262</v>
      </c>
      <c r="H260" s="172" t="n">
        <v>6.2616</v>
      </c>
      <c r="I260" s="172" t="n">
        <v>5</v>
      </c>
      <c r="J260" t="n">
        <v>0.6957</v>
      </c>
      <c r="K260" s="172" t="n">
        <v>24</v>
      </c>
      <c r="L260" t="n">
        <v>3.3395</v>
      </c>
      <c r="M260" s="172" t="n">
        <v>10</v>
      </c>
      <c r="N260" t="n">
        <v>1.3915</v>
      </c>
      <c r="O260" s="172" t="n">
        <v>13</v>
      </c>
      <c r="P260" t="n">
        <v>1.8089</v>
      </c>
      <c r="Q260" s="172" t="n">
        <v>38</v>
      </c>
      <c r="R260" s="172" t="n">
        <v>7</v>
      </c>
      <c r="S260" s="172" t="inlineStr">
        <is>
          <t>Census PEP Vintage 2025</t>
        </is>
      </c>
      <c r="T260" s="172" t="inlineStr">
        <is>
          <t>https://www2.census.gov/programs-surveys/popest/datasets/2020-2025/state/totals/NST-EST2025-ALLDATA.csv</t>
        </is>
      </c>
    </row>
    <row r="261">
      <c r="A261" s="172" t="n">
        <v>2020</v>
      </c>
      <c r="B261" t="inlineStr">
        <is>
          <t>CA</t>
        </is>
      </c>
      <c r="C261" t="inlineStr">
        <is>
          <t>06</t>
        </is>
      </c>
      <c r="D261" t="inlineStr">
        <is>
          <t>California</t>
        </is>
      </c>
      <c r="E261" s="172" t="n">
        <v>147</v>
      </c>
      <c r="F261" s="172" t="n">
        <v>39527808</v>
      </c>
      <c r="G261" s="172" t="n">
        <v>0.3719</v>
      </c>
      <c r="H261" s="172" t="n">
        <v>3.7189</v>
      </c>
      <c r="I261" s="172" t="n">
        <v>11</v>
      </c>
      <c r="J261" t="n">
        <v>0.2783</v>
      </c>
      <c r="K261" s="172" t="n">
        <v>68</v>
      </c>
      <c r="L261" t="n">
        <v>1.7203</v>
      </c>
      <c r="M261" s="172" t="n">
        <v>33</v>
      </c>
      <c r="N261" t="n">
        <v>0.8349</v>
      </c>
      <c r="O261" s="172" t="n">
        <v>38</v>
      </c>
      <c r="P261" t="n">
        <v>0.9613</v>
      </c>
      <c r="Q261" s="172" t="n">
        <v>127</v>
      </c>
      <c r="R261" s="172" t="n">
        <v>20</v>
      </c>
      <c r="S261" s="172" t="inlineStr">
        <is>
          <t>Census PEP Vintage 2025</t>
        </is>
      </c>
      <c r="T261" s="172" t="inlineStr">
        <is>
          <t>https://www2.census.gov/programs-surveys/popest/datasets/2020-2025/state/totals/NST-EST2025-ALLDATA.csv</t>
        </is>
      </c>
    </row>
    <row r="262">
      <c r="A262" s="172" t="n">
        <v>2020</v>
      </c>
      <c r="B262" t="inlineStr">
        <is>
          <t>CO</t>
        </is>
      </c>
      <c r="C262" t="inlineStr">
        <is>
          <t>08</t>
        </is>
      </c>
      <c r="D262" t="inlineStr">
        <is>
          <t>Colorado</t>
        </is>
      </c>
      <c r="E262" s="172" t="n">
        <v>42</v>
      </c>
      <c r="F262" s="172" t="n">
        <v>5786873</v>
      </c>
      <c r="G262" s="172" t="n">
        <v>0.7258</v>
      </c>
      <c r="H262" s="172" t="n">
        <v>7.2578</v>
      </c>
      <c r="I262" s="172" t="n">
        <v>2</v>
      </c>
      <c r="J262" t="n">
        <v>0.3456</v>
      </c>
      <c r="K262" s="172" t="n">
        <v>32</v>
      </c>
      <c r="L262" t="n">
        <v>5.5298</v>
      </c>
      <c r="M262" s="172" t="n">
        <v>5</v>
      </c>
      <c r="N262" t="n">
        <v>0.864</v>
      </c>
      <c r="O262" s="172" t="n">
        <v>7</v>
      </c>
      <c r="P262" t="n">
        <v>1.2096</v>
      </c>
      <c r="Q262" s="172" t="n">
        <v>39</v>
      </c>
      <c r="R262" s="172" t="n">
        <v>3</v>
      </c>
      <c r="S262" s="172" t="inlineStr">
        <is>
          <t>Census PEP Vintage 2025</t>
        </is>
      </c>
      <c r="T262" s="172" t="inlineStr">
        <is>
          <t>https://www2.census.gov/programs-surveys/popest/datasets/2020-2025/state/totals/NST-EST2025-ALLDATA.csv</t>
        </is>
      </c>
    </row>
    <row r="263">
      <c r="A263" s="172" t="n">
        <v>2020</v>
      </c>
      <c r="B263" t="inlineStr">
        <is>
          <t>CT</t>
        </is>
      </c>
      <c r="C263" t="inlineStr">
        <is>
          <t>09</t>
        </is>
      </c>
      <c r="D263" t="inlineStr">
        <is>
          <t>Connecticut</t>
        </is>
      </c>
      <c r="E263" s="172" t="n">
        <v>5</v>
      </c>
      <c r="F263" s="172" t="n">
        <v>3579643</v>
      </c>
      <c r="G263" s="172" t="n">
        <v>0.1397</v>
      </c>
      <c r="H263" s="172" t="n">
        <v>1.3968</v>
      </c>
      <c r="I263" s="172" t="n">
        <v>1</v>
      </c>
      <c r="J263" t="n">
        <v>0.2794</v>
      </c>
      <c r="K263" s="172" t="n">
        <v>2</v>
      </c>
      <c r="L263" t="n">
        <v>0.5587</v>
      </c>
      <c r="M263" s="172" t="n">
        <v>2</v>
      </c>
      <c r="N263" t="n">
        <v>0.5587</v>
      </c>
      <c r="O263" s="172" t="n">
        <v>3</v>
      </c>
      <c r="P263" t="n">
        <v>0.8381</v>
      </c>
      <c r="Q263" s="172" t="n">
        <v>5</v>
      </c>
      <c r="R263" s="172" t="n">
        <v>0</v>
      </c>
      <c r="S263" s="172" t="inlineStr">
        <is>
          <t>Census PEP Vintage 2025</t>
        </is>
      </c>
      <c r="T263" s="172" t="inlineStr">
        <is>
          <t>https://www2.census.gov/programs-surveys/popest/datasets/2020-2025/state/totals/NST-EST2025-ALLDATA.csv</t>
        </is>
      </c>
    </row>
    <row r="264">
      <c r="A264" s="172" t="n">
        <v>2020</v>
      </c>
      <c r="B264" t="inlineStr">
        <is>
          <t>DC</t>
        </is>
      </c>
      <c r="C264" t="inlineStr">
        <is>
          <t>11</t>
        </is>
      </c>
      <c r="D264" t="inlineStr">
        <is>
          <t>District of Columbia</t>
        </is>
      </c>
      <c r="E264" s="172" t="n">
        <v>1</v>
      </c>
      <c r="F264" s="172" t="n">
        <v>670958</v>
      </c>
      <c r="G264" s="172" t="n">
        <v>0.149</v>
      </c>
      <c r="H264" s="172" t="n">
        <v>1.4904</v>
      </c>
      <c r="I264" s="172" t="n">
        <v>0</v>
      </c>
      <c r="J264" t="n">
        <v>0</v>
      </c>
      <c r="K264" s="172" t="n">
        <v>1</v>
      </c>
      <c r="L264" t="n">
        <v>1.4904</v>
      </c>
      <c r="M264" s="172" t="n">
        <v>0</v>
      </c>
      <c r="N264" t="n">
        <v>0</v>
      </c>
      <c r="O264" s="172" t="n">
        <v>1</v>
      </c>
      <c r="P264" t="n">
        <v>1.4904</v>
      </c>
      <c r="Q264" s="172" t="n">
        <v>1</v>
      </c>
      <c r="R264" s="172" t="n">
        <v>0</v>
      </c>
      <c r="S264" s="172" t="inlineStr">
        <is>
          <t>Census PEP Vintage 2025</t>
        </is>
      </c>
      <c r="T264" s="172" t="inlineStr">
        <is>
          <t>https://www2.census.gov/programs-surveys/popest/datasets/2020-2025/state/totals/NST-EST2025-ALLDATA.csv</t>
        </is>
      </c>
    </row>
    <row r="265">
      <c r="A265" s="172" t="n">
        <v>2020</v>
      </c>
      <c r="B265" t="inlineStr">
        <is>
          <t>DE</t>
        </is>
      </c>
      <c r="C265" t="inlineStr">
        <is>
          <t>10</t>
        </is>
      </c>
      <c r="D265" t="inlineStr">
        <is>
          <t>Delaware</t>
        </is>
      </c>
      <c r="E265" s="172" t="n">
        <v>2</v>
      </c>
      <c r="F265" s="172" t="n">
        <v>991890</v>
      </c>
      <c r="G265" s="172" t="n">
        <v>0.2016</v>
      </c>
      <c r="H265" s="172" t="n">
        <v>2.0164</v>
      </c>
      <c r="I265" s="172" t="n">
        <v>0</v>
      </c>
      <c r="J265" t="n">
        <v>0</v>
      </c>
      <c r="K265" s="172" t="n">
        <v>1</v>
      </c>
      <c r="L265" t="n">
        <v>1.0082</v>
      </c>
      <c r="M265" s="172" t="n">
        <v>1</v>
      </c>
      <c r="N265" t="n">
        <v>1.0082</v>
      </c>
      <c r="O265" s="172" t="n">
        <v>0</v>
      </c>
      <c r="P265" t="n">
        <v>0</v>
      </c>
      <c r="Q265" s="172" t="n">
        <v>2</v>
      </c>
      <c r="R265" s="172" t="n">
        <v>0</v>
      </c>
      <c r="S265" s="172" t="inlineStr">
        <is>
          <t>Census PEP Vintage 2025</t>
        </is>
      </c>
      <c r="T265" s="172" t="inlineStr">
        <is>
          <t>https://www2.census.gov/programs-surveys/popest/datasets/2020-2025/state/totals/NST-EST2025-ALLDATA.csv</t>
        </is>
      </c>
    </row>
    <row r="266">
      <c r="A266" s="172" t="n">
        <v>2020</v>
      </c>
      <c r="B266" t="inlineStr">
        <is>
          <t>FL</t>
        </is>
      </c>
      <c r="C266" t="inlineStr">
        <is>
          <t>12</t>
        </is>
      </c>
      <c r="D266" t="inlineStr">
        <is>
          <t>Florida</t>
        </is>
      </c>
      <c r="E266" s="172" t="n">
        <v>93</v>
      </c>
      <c r="F266" s="172" t="n">
        <v>21591325</v>
      </c>
      <c r="G266" s="172" t="n">
        <v>0.4307</v>
      </c>
      <c r="H266" s="172" t="n">
        <v>4.3073</v>
      </c>
      <c r="I266" s="172" t="n">
        <v>5</v>
      </c>
      <c r="J266" t="n">
        <v>0.2316</v>
      </c>
      <c r="K266" s="172" t="n">
        <v>61</v>
      </c>
      <c r="L266" t="n">
        <v>2.8252</v>
      </c>
      <c r="M266" s="172" t="n">
        <v>24</v>
      </c>
      <c r="N266" t="n">
        <v>1.1116</v>
      </c>
      <c r="O266" s="172" t="n">
        <v>16</v>
      </c>
      <c r="P266" t="n">
        <v>0.741</v>
      </c>
      <c r="Q266" s="172" t="n">
        <v>82</v>
      </c>
      <c r="R266" s="172" t="n">
        <v>11</v>
      </c>
      <c r="S266" s="172" t="inlineStr">
        <is>
          <t>Census PEP Vintage 2025</t>
        </is>
      </c>
      <c r="T266" s="172" t="inlineStr">
        <is>
          <t>https://www2.census.gov/programs-surveys/popest/datasets/2020-2025/state/totals/NST-EST2025-ALLDATA.csv</t>
        </is>
      </c>
    </row>
    <row r="267">
      <c r="A267" s="172" t="n">
        <v>2020</v>
      </c>
      <c r="B267" t="inlineStr">
        <is>
          <t>GA</t>
        </is>
      </c>
      <c r="C267" t="inlineStr">
        <is>
          <t>13</t>
        </is>
      </c>
      <c r="D267" t="inlineStr">
        <is>
          <t>Georgia</t>
        </is>
      </c>
      <c r="E267" s="172" t="n">
        <v>40</v>
      </c>
      <c r="F267" s="172" t="n">
        <v>10732595</v>
      </c>
      <c r="G267" s="172" t="n">
        <v>0.3727</v>
      </c>
      <c r="H267" s="172" t="n">
        <v>3.727</v>
      </c>
      <c r="I267" s="172" t="n">
        <v>1</v>
      </c>
      <c r="J267" t="n">
        <v>0.09320000000000001</v>
      </c>
      <c r="K267" s="172" t="n">
        <v>28</v>
      </c>
      <c r="L267" t="n">
        <v>2.6089</v>
      </c>
      <c r="M267" s="172" t="n">
        <v>6</v>
      </c>
      <c r="N267" t="n">
        <v>0.5590000000000001</v>
      </c>
      <c r="O267" s="172" t="n">
        <v>2</v>
      </c>
      <c r="P267" t="n">
        <v>0.1863</v>
      </c>
      <c r="Q267" s="172" t="n">
        <v>37</v>
      </c>
      <c r="R267" s="172" t="n">
        <v>3</v>
      </c>
      <c r="S267" s="172" t="inlineStr">
        <is>
          <t>Census PEP Vintage 2025</t>
        </is>
      </c>
      <c r="T267" s="172" t="inlineStr">
        <is>
          <t>https://www2.census.gov/programs-surveys/popest/datasets/2020-2025/state/totals/NST-EST2025-ALLDATA.csv</t>
        </is>
      </c>
    </row>
    <row r="268">
      <c r="A268" s="172" t="n">
        <v>2020</v>
      </c>
      <c r="B268" t="inlineStr">
        <is>
          <t>HI</t>
        </is>
      </c>
      <c r="C268" t="inlineStr">
        <is>
          <t>15</t>
        </is>
      </c>
      <c r="D268" t="inlineStr">
        <is>
          <t>Hawaii</t>
        </is>
      </c>
      <c r="E268" s="172" t="n">
        <v>2</v>
      </c>
      <c r="F268" s="172" t="n">
        <v>1451130</v>
      </c>
      <c r="G268" s="172" t="n">
        <v>0.1378</v>
      </c>
      <c r="H268" s="172" t="n">
        <v>1.3782</v>
      </c>
      <c r="I268" s="172" t="n">
        <v>0</v>
      </c>
      <c r="J268" t="n">
        <v>0</v>
      </c>
      <c r="K268" s="172" t="n">
        <v>0</v>
      </c>
      <c r="L268" t="n">
        <v>0</v>
      </c>
      <c r="M268" s="172" t="n">
        <v>0</v>
      </c>
      <c r="N268" t="n">
        <v>0</v>
      </c>
      <c r="O268" s="172" t="n">
        <v>0</v>
      </c>
      <c r="P268" t="n">
        <v>0</v>
      </c>
      <c r="Q268" s="172" t="n">
        <v>2</v>
      </c>
      <c r="R268" s="172" t="n">
        <v>0</v>
      </c>
      <c r="S268" s="172" t="inlineStr">
        <is>
          <t>Census PEP Vintage 2025</t>
        </is>
      </c>
      <c r="T268" s="172" t="inlineStr">
        <is>
          <t>https://www2.census.gov/programs-surveys/popest/datasets/2020-2025/state/totals/NST-EST2025-ALLDATA.csv</t>
        </is>
      </c>
    </row>
    <row r="269">
      <c r="A269" s="172" t="n">
        <v>2020</v>
      </c>
      <c r="B269" t="inlineStr">
        <is>
          <t>IA</t>
        </is>
      </c>
      <c r="C269" t="inlineStr">
        <is>
          <t>19</t>
        </is>
      </c>
      <c r="D269" t="inlineStr">
        <is>
          <t>Iowa</t>
        </is>
      </c>
      <c r="E269" s="172" t="n">
        <v>6</v>
      </c>
      <c r="F269" s="172" t="n">
        <v>3191081</v>
      </c>
      <c r="G269" s="172" t="n">
        <v>0.188</v>
      </c>
      <c r="H269" s="172" t="n">
        <v>1.8802</v>
      </c>
      <c r="I269" s="172" t="n">
        <v>0</v>
      </c>
      <c r="J269" t="n">
        <v>0</v>
      </c>
      <c r="K269" s="172" t="n">
        <v>2</v>
      </c>
      <c r="L269" t="n">
        <v>0.6267</v>
      </c>
      <c r="M269" s="172" t="n">
        <v>3</v>
      </c>
      <c r="N269" t="n">
        <v>0.9401</v>
      </c>
      <c r="O269" s="172" t="n">
        <v>2</v>
      </c>
      <c r="P269" t="n">
        <v>0.6267</v>
      </c>
      <c r="Q269" s="172" t="n">
        <v>6</v>
      </c>
      <c r="R269" s="172" t="n">
        <v>0</v>
      </c>
      <c r="S269" s="172" t="inlineStr">
        <is>
          <t>Census PEP Vintage 2025</t>
        </is>
      </c>
      <c r="T269" s="172" t="inlineStr">
        <is>
          <t>https://www2.census.gov/programs-surveys/popest/datasets/2020-2025/state/totals/NST-EST2025-ALLDATA.csv</t>
        </is>
      </c>
    </row>
    <row r="270">
      <c r="A270" s="172" t="n">
        <v>2020</v>
      </c>
      <c r="B270" t="inlineStr">
        <is>
          <t>ID</t>
        </is>
      </c>
      <c r="C270" t="inlineStr">
        <is>
          <t>16</t>
        </is>
      </c>
      <c r="D270" t="inlineStr">
        <is>
          <t>Idaho</t>
        </is>
      </c>
      <c r="E270" s="172" t="n">
        <v>6</v>
      </c>
      <c r="F270" s="172" t="n">
        <v>1849328</v>
      </c>
      <c r="G270" s="172" t="n">
        <v>0.3244</v>
      </c>
      <c r="H270" s="172" t="n">
        <v>3.2444</v>
      </c>
      <c r="I270" s="172" t="n">
        <v>0</v>
      </c>
      <c r="J270" t="n">
        <v>0</v>
      </c>
      <c r="K270" s="172" t="n">
        <v>4</v>
      </c>
      <c r="L270" t="n">
        <v>2.1629</v>
      </c>
      <c r="M270" s="172" t="n">
        <v>0</v>
      </c>
      <c r="N270" t="n">
        <v>0</v>
      </c>
      <c r="O270" s="172" t="n">
        <v>2</v>
      </c>
      <c r="P270" t="n">
        <v>1.0815</v>
      </c>
      <c r="Q270" s="172" t="n">
        <v>6</v>
      </c>
      <c r="R270" s="172" t="n">
        <v>0</v>
      </c>
      <c r="S270" s="172" t="inlineStr">
        <is>
          <t>Census PEP Vintage 2025</t>
        </is>
      </c>
      <c r="T270" s="172" t="inlineStr">
        <is>
          <t>https://www2.census.gov/programs-surveys/popest/datasets/2020-2025/state/totals/NST-EST2025-ALLDATA.csv</t>
        </is>
      </c>
    </row>
    <row r="271">
      <c r="A271" s="172" t="n">
        <v>2020</v>
      </c>
      <c r="B271" t="inlineStr">
        <is>
          <t>IL</t>
        </is>
      </c>
      <c r="C271" t="inlineStr">
        <is>
          <t>17</t>
        </is>
      </c>
      <c r="D271" t="inlineStr">
        <is>
          <t>Illinois</t>
        </is>
      </c>
      <c r="E271" s="172" t="n">
        <v>13</v>
      </c>
      <c r="F271" s="172" t="n">
        <v>12795348</v>
      </c>
      <c r="G271" s="172" t="n">
        <v>0.1016</v>
      </c>
      <c r="H271" s="172" t="n">
        <v>1.016</v>
      </c>
      <c r="I271" s="172" t="n">
        <v>1</v>
      </c>
      <c r="J271" t="n">
        <v>0.07820000000000001</v>
      </c>
      <c r="K271" s="172" t="n">
        <v>8</v>
      </c>
      <c r="L271" t="n">
        <v>0.6252</v>
      </c>
      <c r="M271" s="172" t="n">
        <v>1</v>
      </c>
      <c r="N271" t="n">
        <v>0.07820000000000001</v>
      </c>
      <c r="O271" s="172" t="n">
        <v>4</v>
      </c>
      <c r="P271" t="n">
        <v>0.3126</v>
      </c>
      <c r="Q271" s="172" t="n">
        <v>13</v>
      </c>
      <c r="R271" s="172" t="n">
        <v>0</v>
      </c>
      <c r="S271" s="172" t="inlineStr">
        <is>
          <t>Census PEP Vintage 2025</t>
        </is>
      </c>
      <c r="T271" s="172" t="inlineStr">
        <is>
          <t>https://www2.census.gov/programs-surveys/popest/datasets/2020-2025/state/totals/NST-EST2025-ALLDATA.csv</t>
        </is>
      </c>
    </row>
    <row r="272">
      <c r="A272" s="172" t="n">
        <v>2020</v>
      </c>
      <c r="B272" t="inlineStr">
        <is>
          <t>IN</t>
        </is>
      </c>
      <c r="C272" t="inlineStr">
        <is>
          <t>18</t>
        </is>
      </c>
      <c r="D272" t="inlineStr">
        <is>
          <t>Indiana</t>
        </is>
      </c>
      <c r="E272" s="172" t="n">
        <v>25</v>
      </c>
      <c r="F272" s="172" t="n">
        <v>6790290</v>
      </c>
      <c r="G272" s="172" t="n">
        <v>0.3682</v>
      </c>
      <c r="H272" s="172" t="n">
        <v>3.6817</v>
      </c>
      <c r="I272" s="172" t="n">
        <v>0</v>
      </c>
      <c r="J272" t="n">
        <v>0</v>
      </c>
      <c r="K272" s="172" t="n">
        <v>20</v>
      </c>
      <c r="L272" t="n">
        <v>2.9454</v>
      </c>
      <c r="M272" s="172" t="n">
        <v>4</v>
      </c>
      <c r="N272" t="n">
        <v>0.5891</v>
      </c>
      <c r="O272" s="172" t="n">
        <v>5</v>
      </c>
      <c r="P272" t="n">
        <v>0.7363</v>
      </c>
      <c r="Q272" s="172" t="n">
        <v>23</v>
      </c>
      <c r="R272" s="172" t="n">
        <v>2</v>
      </c>
      <c r="S272" s="172" t="inlineStr">
        <is>
          <t>Census PEP Vintage 2025</t>
        </is>
      </c>
      <c r="T272" s="172" t="inlineStr">
        <is>
          <t>https://www2.census.gov/programs-surveys/popest/datasets/2020-2025/state/totals/NST-EST2025-ALLDATA.csv</t>
        </is>
      </c>
    </row>
    <row r="273">
      <c r="A273" s="172" t="n">
        <v>2020</v>
      </c>
      <c r="B273" t="inlineStr">
        <is>
          <t>KS</t>
        </is>
      </c>
      <c r="C273" t="inlineStr">
        <is>
          <t>20</t>
        </is>
      </c>
      <c r="D273" t="inlineStr">
        <is>
          <t>Kansas</t>
        </is>
      </c>
      <c r="E273" s="172" t="n">
        <v>7</v>
      </c>
      <c r="F273" s="172" t="n">
        <v>2938274</v>
      </c>
      <c r="G273" s="172" t="n">
        <v>0.2382</v>
      </c>
      <c r="H273" s="172" t="n">
        <v>2.3824</v>
      </c>
      <c r="I273" s="172" t="n">
        <v>0</v>
      </c>
      <c r="J273" t="n">
        <v>0</v>
      </c>
      <c r="K273" s="172" t="n">
        <v>5</v>
      </c>
      <c r="L273" t="n">
        <v>1.7017</v>
      </c>
      <c r="M273" s="172" t="n">
        <v>1</v>
      </c>
      <c r="N273" t="n">
        <v>0.3403</v>
      </c>
      <c r="O273" s="172" t="n">
        <v>1</v>
      </c>
      <c r="P273" t="n">
        <v>0.3403</v>
      </c>
      <c r="Q273" s="172" t="n">
        <v>7</v>
      </c>
      <c r="R273" s="172" t="n">
        <v>0</v>
      </c>
      <c r="S273" s="172" t="inlineStr">
        <is>
          <t>Census PEP Vintage 2025</t>
        </is>
      </c>
      <c r="T273" s="172" t="inlineStr">
        <is>
          <t>https://www2.census.gov/programs-surveys/popest/datasets/2020-2025/state/totals/NST-EST2025-ALLDATA.csv</t>
        </is>
      </c>
    </row>
    <row r="274">
      <c r="A274" s="172" t="n">
        <v>2020</v>
      </c>
      <c r="B274" t="inlineStr">
        <is>
          <t>KY</t>
        </is>
      </c>
      <c r="C274" t="inlineStr">
        <is>
          <t>21</t>
        </is>
      </c>
      <c r="D274" t="inlineStr">
        <is>
          <t>Kentucky</t>
        </is>
      </c>
      <c r="E274" s="172" t="n">
        <v>20</v>
      </c>
      <c r="F274" s="172" t="n">
        <v>4508271</v>
      </c>
      <c r="G274" s="172" t="n">
        <v>0.4436</v>
      </c>
      <c r="H274" s="172" t="n">
        <v>4.4363</v>
      </c>
      <c r="I274" s="172" t="n">
        <v>1</v>
      </c>
      <c r="J274" t="n">
        <v>0.2218</v>
      </c>
      <c r="K274" s="172" t="n">
        <v>14</v>
      </c>
      <c r="L274" t="n">
        <v>3.1054</v>
      </c>
      <c r="M274" s="172" t="n">
        <v>2</v>
      </c>
      <c r="N274" t="n">
        <v>0.4436</v>
      </c>
      <c r="O274" s="172" t="n">
        <v>4</v>
      </c>
      <c r="P274" t="n">
        <v>0.8873</v>
      </c>
      <c r="Q274" s="172" t="n">
        <v>16</v>
      </c>
      <c r="R274" s="172" t="n">
        <v>4</v>
      </c>
      <c r="S274" s="172" t="inlineStr">
        <is>
          <t>Census PEP Vintage 2025</t>
        </is>
      </c>
      <c r="T274" s="172" t="inlineStr">
        <is>
          <t>https://www2.census.gov/programs-surveys/popest/datasets/2020-2025/state/totals/NST-EST2025-ALLDATA.csv</t>
        </is>
      </c>
    </row>
    <row r="275">
      <c r="A275" s="172" t="n">
        <v>2020</v>
      </c>
      <c r="B275" t="inlineStr">
        <is>
          <t>LA</t>
        </is>
      </c>
      <c r="C275" t="inlineStr">
        <is>
          <t>22</t>
        </is>
      </c>
      <c r="D275" t="inlineStr">
        <is>
          <t>Louisiana</t>
        </is>
      </c>
      <c r="E275" s="172" t="n">
        <v>20</v>
      </c>
      <c r="F275" s="172" t="n">
        <v>4652145</v>
      </c>
      <c r="G275" s="172" t="n">
        <v>0.4299</v>
      </c>
      <c r="H275" s="172" t="n">
        <v>4.2991</v>
      </c>
      <c r="I275" s="172" t="n">
        <v>0</v>
      </c>
      <c r="J275" t="n">
        <v>0</v>
      </c>
      <c r="K275" s="172" t="n">
        <v>15</v>
      </c>
      <c r="L275" t="n">
        <v>3.2243</v>
      </c>
      <c r="M275" s="172" t="n">
        <v>5</v>
      </c>
      <c r="N275" t="n">
        <v>1.0748</v>
      </c>
      <c r="O275" s="172" t="n">
        <v>3</v>
      </c>
      <c r="P275" t="n">
        <v>0.6449</v>
      </c>
      <c r="Q275" s="172" t="n">
        <v>19</v>
      </c>
      <c r="R275" s="172" t="n">
        <v>1</v>
      </c>
      <c r="S275" s="172" t="inlineStr">
        <is>
          <t>Census PEP Vintage 2025</t>
        </is>
      </c>
      <c r="T275" s="172" t="inlineStr">
        <is>
          <t>https://www2.census.gov/programs-surveys/popest/datasets/2020-2025/state/totals/NST-EST2025-ALLDATA.csv</t>
        </is>
      </c>
    </row>
    <row r="276">
      <c r="A276" s="172" t="n">
        <v>2020</v>
      </c>
      <c r="B276" t="inlineStr">
        <is>
          <t>MA</t>
        </is>
      </c>
      <c r="C276" t="inlineStr">
        <is>
          <t>25</t>
        </is>
      </c>
      <c r="D276" t="inlineStr">
        <is>
          <t>Massachusetts</t>
        </is>
      </c>
      <c r="E276" s="172" t="n">
        <v>6</v>
      </c>
      <c r="F276" s="172" t="n">
        <v>6985320</v>
      </c>
      <c r="G276" s="172" t="n">
        <v>0.0859</v>
      </c>
      <c r="H276" s="172" t="n">
        <v>0.8589</v>
      </c>
      <c r="I276" s="172" t="n">
        <v>0</v>
      </c>
      <c r="J276" t="n">
        <v>0</v>
      </c>
      <c r="K276" s="172" t="n">
        <v>0</v>
      </c>
      <c r="L276" t="n">
        <v>0</v>
      </c>
      <c r="M276" s="172" t="n">
        <v>1</v>
      </c>
      <c r="N276" t="n">
        <v>0.1432</v>
      </c>
      <c r="O276" s="172" t="n">
        <v>0</v>
      </c>
      <c r="P276" t="n">
        <v>0</v>
      </c>
      <c r="Q276" s="172" t="n">
        <v>6</v>
      </c>
      <c r="R276" s="172" t="n">
        <v>0</v>
      </c>
      <c r="S276" s="172" t="inlineStr">
        <is>
          <t>Census PEP Vintage 2025</t>
        </is>
      </c>
      <c r="T276" s="172" t="inlineStr">
        <is>
          <t>https://www2.census.gov/programs-surveys/popest/datasets/2020-2025/state/totals/NST-EST2025-ALLDATA.csv</t>
        </is>
      </c>
    </row>
    <row r="277">
      <c r="A277" s="172" t="n">
        <v>2020</v>
      </c>
      <c r="B277" t="inlineStr">
        <is>
          <t>MD</t>
        </is>
      </c>
      <c r="C277" t="inlineStr">
        <is>
          <t>24</t>
        </is>
      </c>
      <c r="D277" t="inlineStr">
        <is>
          <t>Maryland</t>
        </is>
      </c>
      <c r="E277" s="172" t="n">
        <v>14</v>
      </c>
      <c r="F277" s="172" t="n">
        <v>6178387</v>
      </c>
      <c r="G277" s="172" t="n">
        <v>0.2266</v>
      </c>
      <c r="H277" s="172" t="n">
        <v>2.266</v>
      </c>
      <c r="I277" s="172" t="n">
        <v>1</v>
      </c>
      <c r="J277" t="n">
        <v>0.1619</v>
      </c>
      <c r="K277" s="172" t="n">
        <v>11</v>
      </c>
      <c r="L277" t="n">
        <v>1.7804</v>
      </c>
      <c r="M277" s="172" t="n">
        <v>3</v>
      </c>
      <c r="N277" t="n">
        <v>0.4856</v>
      </c>
      <c r="O277" s="172" t="n">
        <v>4</v>
      </c>
      <c r="P277" t="n">
        <v>0.6474</v>
      </c>
      <c r="Q277" s="172" t="n">
        <v>14</v>
      </c>
      <c r="R277" s="172" t="n">
        <v>0</v>
      </c>
      <c r="S277" s="172" t="inlineStr">
        <is>
          <t>Census PEP Vintage 2025</t>
        </is>
      </c>
      <c r="T277" s="172" t="inlineStr">
        <is>
          <t>https://www2.census.gov/programs-surveys/popest/datasets/2020-2025/state/totals/NST-EST2025-ALLDATA.csv</t>
        </is>
      </c>
    </row>
    <row r="278">
      <c r="A278" s="172" t="n">
        <v>2020</v>
      </c>
      <c r="B278" t="inlineStr">
        <is>
          <t>ME</t>
        </is>
      </c>
      <c r="C278" t="inlineStr">
        <is>
          <t>23</t>
        </is>
      </c>
      <c r="D278" t="inlineStr">
        <is>
          <t>Maine</t>
        </is>
      </c>
      <c r="E278" s="172" t="n">
        <v>4</v>
      </c>
      <c r="F278" s="172" t="n">
        <v>1364546</v>
      </c>
      <c r="G278" s="172" t="n">
        <v>0.2931</v>
      </c>
      <c r="H278" s="172" t="n">
        <v>2.9314</v>
      </c>
      <c r="I278" s="172" t="n">
        <v>0</v>
      </c>
      <c r="J278" t="n">
        <v>0</v>
      </c>
      <c r="K278" s="172" t="n">
        <v>4</v>
      </c>
      <c r="L278" t="n">
        <v>2.9314</v>
      </c>
      <c r="M278" s="172" t="n">
        <v>1</v>
      </c>
      <c r="N278" t="n">
        <v>0.7328</v>
      </c>
      <c r="O278" s="172" t="n">
        <v>0</v>
      </c>
      <c r="P278" t="n">
        <v>0</v>
      </c>
      <c r="Q278" s="172" t="n">
        <v>4</v>
      </c>
      <c r="R278" s="172" t="n">
        <v>0</v>
      </c>
      <c r="S278" s="172" t="inlineStr">
        <is>
          <t>Census PEP Vintage 2025</t>
        </is>
      </c>
      <c r="T278" s="172" t="inlineStr">
        <is>
          <t>https://www2.census.gov/programs-surveys/popest/datasets/2020-2025/state/totals/NST-EST2025-ALLDATA.csv</t>
        </is>
      </c>
    </row>
    <row r="279">
      <c r="A279" s="172" t="n">
        <v>2020</v>
      </c>
      <c r="B279" t="inlineStr">
        <is>
          <t>MI</t>
        </is>
      </c>
      <c r="C279" t="inlineStr">
        <is>
          <t>26</t>
        </is>
      </c>
      <c r="D279" t="inlineStr">
        <is>
          <t>Michigan</t>
        </is>
      </c>
      <c r="E279" s="172" t="n">
        <v>17</v>
      </c>
      <c r="F279" s="172" t="n">
        <v>10072294</v>
      </c>
      <c r="G279" s="172" t="n">
        <v>0.1688</v>
      </c>
      <c r="H279" s="172" t="n">
        <v>1.6878</v>
      </c>
      <c r="I279" s="172" t="n">
        <v>0</v>
      </c>
      <c r="J279" t="n">
        <v>0</v>
      </c>
      <c r="K279" s="172" t="n">
        <v>11</v>
      </c>
      <c r="L279" t="n">
        <v>1.0921</v>
      </c>
      <c r="M279" s="172" t="n">
        <v>6</v>
      </c>
      <c r="N279" t="n">
        <v>0.5957</v>
      </c>
      <c r="O279" s="172" t="n">
        <v>4</v>
      </c>
      <c r="P279" t="n">
        <v>0.3971</v>
      </c>
      <c r="Q279" s="172" t="n">
        <v>15</v>
      </c>
      <c r="R279" s="172" t="n">
        <v>2</v>
      </c>
      <c r="S279" s="172" t="inlineStr">
        <is>
          <t>Census PEP Vintage 2025</t>
        </is>
      </c>
      <c r="T279" s="172" t="inlineStr">
        <is>
          <t>https://www2.census.gov/programs-surveys/popest/datasets/2020-2025/state/totals/NST-EST2025-ALLDATA.csv</t>
        </is>
      </c>
    </row>
    <row r="280">
      <c r="A280" s="172" t="n">
        <v>2020</v>
      </c>
      <c r="B280" t="inlineStr">
        <is>
          <t>MN</t>
        </is>
      </c>
      <c r="C280" t="inlineStr">
        <is>
          <t>27</t>
        </is>
      </c>
      <c r="D280" t="inlineStr">
        <is>
          <t>Minnesota</t>
        </is>
      </c>
      <c r="E280" s="172" t="n">
        <v>8</v>
      </c>
      <c r="F280" s="172" t="n">
        <v>5710562</v>
      </c>
      <c r="G280" s="172" t="n">
        <v>0.1401</v>
      </c>
      <c r="H280" s="172" t="n">
        <v>1.4009</v>
      </c>
      <c r="I280" s="172" t="n">
        <v>1</v>
      </c>
      <c r="J280" t="n">
        <v>0.1751</v>
      </c>
      <c r="K280" s="172" t="n">
        <v>6</v>
      </c>
      <c r="L280" t="n">
        <v>1.0507</v>
      </c>
      <c r="M280" s="172" t="n">
        <v>3</v>
      </c>
      <c r="N280" t="n">
        <v>0.5253</v>
      </c>
      <c r="O280" s="172" t="n">
        <v>3</v>
      </c>
      <c r="P280" t="n">
        <v>0.5253</v>
      </c>
      <c r="Q280" s="172" t="n">
        <v>8</v>
      </c>
      <c r="R280" s="172" t="n">
        <v>0</v>
      </c>
      <c r="S280" s="172" t="inlineStr">
        <is>
          <t>Census PEP Vintage 2025</t>
        </is>
      </c>
      <c r="T280" s="172" t="inlineStr">
        <is>
          <t>https://www2.census.gov/programs-surveys/popest/datasets/2020-2025/state/totals/NST-EST2025-ALLDATA.csv</t>
        </is>
      </c>
    </row>
    <row r="281">
      <c r="A281" s="172" t="n">
        <v>2020</v>
      </c>
      <c r="B281" t="inlineStr">
        <is>
          <t>MO</t>
        </is>
      </c>
      <c r="C281" t="inlineStr">
        <is>
          <t>29</t>
        </is>
      </c>
      <c r="D281" t="inlineStr">
        <is>
          <t>Missouri</t>
        </is>
      </c>
      <c r="E281" s="172" t="n">
        <v>25</v>
      </c>
      <c r="F281" s="172" t="n">
        <v>6155074</v>
      </c>
      <c r="G281" s="172" t="n">
        <v>0.4062</v>
      </c>
      <c r="H281" s="172" t="n">
        <v>4.0617</v>
      </c>
      <c r="I281" s="172" t="n">
        <v>2</v>
      </c>
      <c r="J281" t="n">
        <v>0.3249</v>
      </c>
      <c r="K281" s="172" t="n">
        <v>19</v>
      </c>
      <c r="L281" t="n">
        <v>3.0869</v>
      </c>
      <c r="M281" s="172" t="n">
        <v>2</v>
      </c>
      <c r="N281" t="n">
        <v>0.3249</v>
      </c>
      <c r="O281" s="172" t="n">
        <v>0</v>
      </c>
      <c r="P281" t="n">
        <v>0</v>
      </c>
      <c r="Q281" s="172" t="n">
        <v>19</v>
      </c>
      <c r="R281" s="172" t="n">
        <v>6</v>
      </c>
      <c r="S281" s="172" t="inlineStr">
        <is>
          <t>Census PEP Vintage 2025</t>
        </is>
      </c>
      <c r="T281" s="172" t="inlineStr">
        <is>
          <t>https://www2.census.gov/programs-surveys/popest/datasets/2020-2025/state/totals/NST-EST2025-ALLDATA.csv</t>
        </is>
      </c>
    </row>
    <row r="282">
      <c r="A282" s="172" t="n">
        <v>2020</v>
      </c>
      <c r="B282" t="inlineStr">
        <is>
          <t>MS</t>
        </is>
      </c>
      <c r="C282" t="inlineStr">
        <is>
          <t>28</t>
        </is>
      </c>
      <c r="D282" t="inlineStr">
        <is>
          <t>Mississippi</t>
        </is>
      </c>
      <c r="E282" s="172" t="n">
        <v>10</v>
      </c>
      <c r="F282" s="172" t="n">
        <v>2958385</v>
      </c>
      <c r="G282" s="172" t="n">
        <v>0.338</v>
      </c>
      <c r="H282" s="172" t="n">
        <v>3.3802</v>
      </c>
      <c r="I282" s="172" t="n">
        <v>0</v>
      </c>
      <c r="J282" t="n">
        <v>0</v>
      </c>
      <c r="K282" s="172" t="n">
        <v>6</v>
      </c>
      <c r="L282" t="n">
        <v>2.0281</v>
      </c>
      <c r="M282" s="172" t="n">
        <v>2</v>
      </c>
      <c r="N282" t="n">
        <v>0.676</v>
      </c>
      <c r="O282" s="172" t="n">
        <v>1</v>
      </c>
      <c r="P282" t="n">
        <v>0.338</v>
      </c>
      <c r="Q282" s="172" t="n">
        <v>9</v>
      </c>
      <c r="R282" s="172" t="n">
        <v>1</v>
      </c>
      <c r="S282" s="172" t="inlineStr">
        <is>
          <t>Census PEP Vintage 2025</t>
        </is>
      </c>
      <c r="T282" s="172" t="inlineStr">
        <is>
          <t>https://www2.census.gov/programs-surveys/popest/datasets/2020-2025/state/totals/NST-EST2025-ALLDATA.csv</t>
        </is>
      </c>
    </row>
    <row r="283">
      <c r="A283" s="172" t="n">
        <v>2020</v>
      </c>
      <c r="B283" t="inlineStr">
        <is>
          <t>MT</t>
        </is>
      </c>
      <c r="C283" t="inlineStr">
        <is>
          <t>30</t>
        </is>
      </c>
      <c r="D283" t="inlineStr">
        <is>
          <t>Montana</t>
        </is>
      </c>
      <c r="E283" s="172" t="n">
        <v>10</v>
      </c>
      <c r="F283" s="172" t="n">
        <v>1087156</v>
      </c>
      <c r="G283" s="172" t="n">
        <v>0.9198</v>
      </c>
      <c r="H283" s="172" t="n">
        <v>9.1983</v>
      </c>
      <c r="I283" s="172" t="n">
        <v>0</v>
      </c>
      <c r="J283" t="n">
        <v>0</v>
      </c>
      <c r="K283" s="172" t="n">
        <v>7</v>
      </c>
      <c r="L283" t="n">
        <v>6.4388</v>
      </c>
      <c r="M283" s="172" t="n">
        <v>1</v>
      </c>
      <c r="N283" t="n">
        <v>0.9198</v>
      </c>
      <c r="O283" s="172" t="n">
        <v>0</v>
      </c>
      <c r="P283" t="n">
        <v>0</v>
      </c>
      <c r="Q283" s="172" t="n">
        <v>10</v>
      </c>
      <c r="R283" s="172" t="n">
        <v>0</v>
      </c>
      <c r="S283" s="172" t="inlineStr">
        <is>
          <t>Census PEP Vintage 2025</t>
        </is>
      </c>
      <c r="T283" s="172" t="inlineStr">
        <is>
          <t>https://www2.census.gov/programs-surveys/popest/datasets/2020-2025/state/totals/NST-EST2025-ALLDATA.csv</t>
        </is>
      </c>
    </row>
    <row r="284">
      <c r="A284" s="172" t="n">
        <v>2020</v>
      </c>
      <c r="B284" t="inlineStr">
        <is>
          <t>NC</t>
        </is>
      </c>
      <c r="C284" t="inlineStr">
        <is>
          <t>37</t>
        </is>
      </c>
      <c r="D284" t="inlineStr">
        <is>
          <t>North Carolina</t>
        </is>
      </c>
      <c r="E284" s="172" t="n">
        <v>34</v>
      </c>
      <c r="F284" s="172" t="n">
        <v>10450215</v>
      </c>
      <c r="G284" s="172" t="n">
        <v>0.3254</v>
      </c>
      <c r="H284" s="172" t="n">
        <v>3.2535</v>
      </c>
      <c r="I284" s="172" t="n">
        <v>2</v>
      </c>
      <c r="J284" t="n">
        <v>0.1914</v>
      </c>
      <c r="K284" s="172" t="n">
        <v>27</v>
      </c>
      <c r="L284" t="n">
        <v>2.5837</v>
      </c>
      <c r="M284" s="172" t="n">
        <v>8</v>
      </c>
      <c r="N284" t="n">
        <v>0.7655</v>
      </c>
      <c r="O284" s="172" t="n">
        <v>3</v>
      </c>
      <c r="P284" t="n">
        <v>0.2871</v>
      </c>
      <c r="Q284" s="172" t="n">
        <v>29</v>
      </c>
      <c r="R284" s="172" t="n">
        <v>5</v>
      </c>
      <c r="S284" s="172" t="inlineStr">
        <is>
          <t>Census PEP Vintage 2025</t>
        </is>
      </c>
      <c r="T284" s="172" t="inlineStr">
        <is>
          <t>https://www2.census.gov/programs-surveys/popest/datasets/2020-2025/state/totals/NST-EST2025-ALLDATA.csv</t>
        </is>
      </c>
    </row>
    <row r="285">
      <c r="A285" s="172" t="n">
        <v>2020</v>
      </c>
      <c r="B285" t="inlineStr">
        <is>
          <t>ND</t>
        </is>
      </c>
      <c r="C285" t="inlineStr">
        <is>
          <t>38</t>
        </is>
      </c>
      <c r="D285" t="inlineStr">
        <is>
          <t>North Dakota</t>
        </is>
      </c>
      <c r="E285" s="172" t="n">
        <v>3</v>
      </c>
      <c r="F285" s="172" t="n">
        <v>779612</v>
      </c>
      <c r="G285" s="172" t="n">
        <v>0.3848</v>
      </c>
      <c r="H285" s="172" t="n">
        <v>3.8481</v>
      </c>
      <c r="I285" s="172" t="n">
        <v>0</v>
      </c>
      <c r="J285" t="n">
        <v>0</v>
      </c>
      <c r="K285" s="172" t="n">
        <v>1</v>
      </c>
      <c r="L285" t="n">
        <v>1.2827</v>
      </c>
      <c r="M285" s="172" t="n">
        <v>1</v>
      </c>
      <c r="N285" t="n">
        <v>1.2827</v>
      </c>
      <c r="O285" s="172" t="n">
        <v>0</v>
      </c>
      <c r="P285" t="n">
        <v>0</v>
      </c>
      <c r="Q285" s="172" t="n">
        <v>3</v>
      </c>
      <c r="R285" s="172" t="n">
        <v>0</v>
      </c>
      <c r="S285" s="172" t="inlineStr">
        <is>
          <t>Census PEP Vintage 2025</t>
        </is>
      </c>
      <c r="T285" s="172" t="inlineStr">
        <is>
          <t>https://www2.census.gov/programs-surveys/popest/datasets/2020-2025/state/totals/NST-EST2025-ALLDATA.csv</t>
        </is>
      </c>
    </row>
    <row r="286">
      <c r="A286" s="172" t="n">
        <v>2020</v>
      </c>
      <c r="B286" t="inlineStr">
        <is>
          <t>NE</t>
        </is>
      </c>
      <c r="C286" t="inlineStr">
        <is>
          <t>31</t>
        </is>
      </c>
      <c r="D286" t="inlineStr">
        <is>
          <t>Nebraska</t>
        </is>
      </c>
      <c r="E286" s="172" t="n">
        <v>4</v>
      </c>
      <c r="F286" s="172" t="n">
        <v>1963318</v>
      </c>
      <c r="G286" s="172" t="n">
        <v>0.2037</v>
      </c>
      <c r="H286" s="172" t="n">
        <v>2.0374</v>
      </c>
      <c r="I286" s="172" t="n">
        <v>0</v>
      </c>
      <c r="J286" t="n">
        <v>0</v>
      </c>
      <c r="K286" s="172" t="n">
        <v>3</v>
      </c>
      <c r="L286" t="n">
        <v>1.528</v>
      </c>
      <c r="M286" s="172" t="n">
        <v>2</v>
      </c>
      <c r="N286" t="n">
        <v>1.0187</v>
      </c>
      <c r="O286" s="172" t="n">
        <v>1</v>
      </c>
      <c r="P286" t="n">
        <v>0.5093</v>
      </c>
      <c r="Q286" s="172" t="n">
        <v>4</v>
      </c>
      <c r="R286" s="172" t="n">
        <v>0</v>
      </c>
      <c r="S286" s="172" t="inlineStr">
        <is>
          <t>Census PEP Vintage 2025</t>
        </is>
      </c>
      <c r="T286" s="172" t="inlineStr">
        <is>
          <t>https://www2.census.gov/programs-surveys/popest/datasets/2020-2025/state/totals/NST-EST2025-ALLDATA.csv</t>
        </is>
      </c>
    </row>
    <row r="287">
      <c r="A287" s="172" t="n">
        <v>2020</v>
      </c>
      <c r="B287" t="inlineStr">
        <is>
          <t>NH</t>
        </is>
      </c>
      <c r="C287" t="inlineStr">
        <is>
          <t>33</t>
        </is>
      </c>
      <c r="D287" t="inlineStr">
        <is>
          <t>New Hampshire</t>
        </is>
      </c>
      <c r="E287" s="172" t="n">
        <v>4</v>
      </c>
      <c r="F287" s="172" t="n">
        <v>1378752</v>
      </c>
      <c r="G287" s="172" t="n">
        <v>0.2901</v>
      </c>
      <c r="H287" s="172" t="n">
        <v>2.9012</v>
      </c>
      <c r="I287" s="172" t="n">
        <v>1</v>
      </c>
      <c r="J287" t="n">
        <v>0.7252999999999999</v>
      </c>
      <c r="K287" s="172" t="n">
        <v>1</v>
      </c>
      <c r="L287" t="n">
        <v>0.7252999999999999</v>
      </c>
      <c r="M287" s="172" t="n">
        <v>2</v>
      </c>
      <c r="N287" t="n">
        <v>1.4506</v>
      </c>
      <c r="O287" s="172" t="n">
        <v>1</v>
      </c>
      <c r="P287" t="n">
        <v>0.7252999999999999</v>
      </c>
      <c r="Q287" s="172" t="n">
        <v>4</v>
      </c>
      <c r="R287" s="172" t="n">
        <v>0</v>
      </c>
      <c r="S287" s="172" t="inlineStr">
        <is>
          <t>Census PEP Vintage 2025</t>
        </is>
      </c>
      <c r="T287" s="172" t="inlineStr">
        <is>
          <t>https://www2.census.gov/programs-surveys/popest/datasets/2020-2025/state/totals/NST-EST2025-ALLDATA.csv</t>
        </is>
      </c>
    </row>
    <row r="288">
      <c r="A288" s="172" t="n">
        <v>2020</v>
      </c>
      <c r="B288" t="inlineStr">
        <is>
          <t>NJ</t>
        </is>
      </c>
      <c r="C288" t="inlineStr">
        <is>
          <t>34</t>
        </is>
      </c>
      <c r="D288" t="inlineStr">
        <is>
          <t>New Jersey</t>
        </is>
      </c>
      <c r="E288" s="172" t="n">
        <v>8</v>
      </c>
      <c r="F288" s="172" t="n">
        <v>9270476</v>
      </c>
      <c r="G288" s="172" t="n">
        <v>0.0863</v>
      </c>
      <c r="H288" s="172" t="n">
        <v>0.863</v>
      </c>
      <c r="I288" s="172" t="n">
        <v>1</v>
      </c>
      <c r="J288" t="n">
        <v>0.1079</v>
      </c>
      <c r="K288" s="172" t="n">
        <v>2</v>
      </c>
      <c r="L288" t="n">
        <v>0.2157</v>
      </c>
      <c r="M288" s="172" t="n">
        <v>2</v>
      </c>
      <c r="N288" t="n">
        <v>0.2157</v>
      </c>
      <c r="O288" s="172" t="n">
        <v>2</v>
      </c>
      <c r="P288" t="n">
        <v>0.2157</v>
      </c>
      <c r="Q288" s="172" t="n">
        <v>7</v>
      </c>
      <c r="R288" s="172" t="n">
        <v>1</v>
      </c>
      <c r="S288" s="172" t="inlineStr">
        <is>
          <t>Census PEP Vintage 2025</t>
        </is>
      </c>
      <c r="T288" s="172" t="inlineStr">
        <is>
          <t>https://www2.census.gov/programs-surveys/popest/datasets/2020-2025/state/totals/NST-EST2025-ALLDATA.csv</t>
        </is>
      </c>
    </row>
    <row r="289">
      <c r="A289" s="172" t="n">
        <v>2020</v>
      </c>
      <c r="B289" t="inlineStr">
        <is>
          <t>NM</t>
        </is>
      </c>
      <c r="C289" t="inlineStr">
        <is>
          <t>35</t>
        </is>
      </c>
      <c r="D289" t="inlineStr">
        <is>
          <t>New Mexico</t>
        </is>
      </c>
      <c r="E289" s="172" t="n">
        <v>16</v>
      </c>
      <c r="F289" s="172" t="n">
        <v>2118446</v>
      </c>
      <c r="G289" s="172" t="n">
        <v>0.7553</v>
      </c>
      <c r="H289" s="172" t="n">
        <v>7.5527</v>
      </c>
      <c r="I289" s="172" t="n">
        <v>0</v>
      </c>
      <c r="J289" t="n">
        <v>0</v>
      </c>
      <c r="K289" s="172" t="n">
        <v>15</v>
      </c>
      <c r="L289" t="n">
        <v>7.0807</v>
      </c>
      <c r="M289" s="172" t="n">
        <v>2</v>
      </c>
      <c r="N289" t="n">
        <v>0.9441000000000001</v>
      </c>
      <c r="O289" s="172" t="n">
        <v>1</v>
      </c>
      <c r="P289" t="n">
        <v>0.472</v>
      </c>
      <c r="Q289" s="172" t="n">
        <v>14</v>
      </c>
      <c r="R289" s="172" t="n">
        <v>2</v>
      </c>
      <c r="S289" s="172" t="inlineStr">
        <is>
          <t>Census PEP Vintage 2025</t>
        </is>
      </c>
      <c r="T289" s="172" t="inlineStr">
        <is>
          <t>https://www2.census.gov/programs-surveys/popest/datasets/2020-2025/state/totals/NST-EST2025-ALLDATA.csv</t>
        </is>
      </c>
    </row>
    <row r="290">
      <c r="A290" s="172" t="n">
        <v>2020</v>
      </c>
      <c r="B290" t="inlineStr">
        <is>
          <t>NV</t>
        </is>
      </c>
      <c r="C290" t="inlineStr">
        <is>
          <t>32</t>
        </is>
      </c>
      <c r="D290" t="inlineStr">
        <is>
          <t>Nevada</t>
        </is>
      </c>
      <c r="E290" s="172" t="n">
        <v>25</v>
      </c>
      <c r="F290" s="172" t="n">
        <v>3116851</v>
      </c>
      <c r="G290" s="172" t="n">
        <v>0.8021</v>
      </c>
      <c r="H290" s="172" t="n">
        <v>8.020899999999999</v>
      </c>
      <c r="I290" s="172" t="n">
        <v>1</v>
      </c>
      <c r="J290" t="n">
        <v>0.3208</v>
      </c>
      <c r="K290" s="172" t="n">
        <v>15</v>
      </c>
      <c r="L290" t="n">
        <v>4.8125</v>
      </c>
      <c r="M290" s="172" t="n">
        <v>7</v>
      </c>
      <c r="N290" t="n">
        <v>2.2459</v>
      </c>
      <c r="O290" s="172" t="n">
        <v>12</v>
      </c>
      <c r="P290" t="n">
        <v>3.85</v>
      </c>
      <c r="Q290" s="172" t="n">
        <v>24</v>
      </c>
      <c r="R290" s="172" t="n">
        <v>1</v>
      </c>
      <c r="S290" s="172" t="inlineStr">
        <is>
          <t>Census PEP Vintage 2025</t>
        </is>
      </c>
      <c r="T290" s="172" t="inlineStr">
        <is>
          <t>https://www2.census.gov/programs-surveys/popest/datasets/2020-2025/state/totals/NST-EST2025-ALLDATA.csv</t>
        </is>
      </c>
    </row>
    <row r="291">
      <c r="A291" s="172" t="n">
        <v>2020</v>
      </c>
      <c r="B291" t="inlineStr">
        <is>
          <t>NY</t>
        </is>
      </c>
      <c r="C291" t="inlineStr">
        <is>
          <t>36</t>
        </is>
      </c>
      <c r="D291" t="inlineStr">
        <is>
          <t>New York</t>
        </is>
      </c>
      <c r="E291" s="172" t="n">
        <v>20</v>
      </c>
      <c r="F291" s="172" t="n">
        <v>20122262</v>
      </c>
      <c r="G291" s="172" t="n">
        <v>0.0994</v>
      </c>
      <c r="H291" s="172" t="n">
        <v>0.9939</v>
      </c>
      <c r="I291" s="172" t="n">
        <v>0</v>
      </c>
      <c r="J291" t="n">
        <v>0</v>
      </c>
      <c r="K291" s="172" t="n">
        <v>13</v>
      </c>
      <c r="L291" t="n">
        <v>0.6461</v>
      </c>
      <c r="M291" s="172" t="n">
        <v>6</v>
      </c>
      <c r="N291" t="n">
        <v>0.2982</v>
      </c>
      <c r="O291" s="172" t="n">
        <v>7</v>
      </c>
      <c r="P291" t="n">
        <v>0.3479</v>
      </c>
      <c r="Q291" s="172" t="n">
        <v>19</v>
      </c>
      <c r="R291" s="172" t="n">
        <v>1</v>
      </c>
      <c r="S291" s="172" t="inlineStr">
        <is>
          <t>Census PEP Vintage 2025</t>
        </is>
      </c>
      <c r="T291" s="172" t="inlineStr">
        <is>
          <t>https://www2.census.gov/programs-surveys/popest/datasets/2020-2025/state/totals/NST-EST2025-ALLDATA.csv</t>
        </is>
      </c>
    </row>
    <row r="292">
      <c r="A292" s="172" t="n">
        <v>2020</v>
      </c>
      <c r="B292" t="inlineStr">
        <is>
          <t>OH</t>
        </is>
      </c>
      <c r="C292" t="inlineStr">
        <is>
          <t>39</t>
        </is>
      </c>
      <c r="D292" t="inlineStr">
        <is>
          <t>Ohio</t>
        </is>
      </c>
      <c r="E292" s="172" t="n">
        <v>23</v>
      </c>
      <c r="F292" s="172" t="n">
        <v>11798534</v>
      </c>
      <c r="G292" s="172" t="n">
        <v>0.1949</v>
      </c>
      <c r="H292" s="172" t="n">
        <v>1.9494</v>
      </c>
      <c r="I292" s="172" t="n">
        <v>1</v>
      </c>
      <c r="J292" t="n">
        <v>0.0848</v>
      </c>
      <c r="K292" s="172" t="n">
        <v>17</v>
      </c>
      <c r="L292" t="n">
        <v>1.4409</v>
      </c>
      <c r="M292" s="172" t="n">
        <v>7</v>
      </c>
      <c r="N292" t="n">
        <v>0.5933</v>
      </c>
      <c r="O292" s="172" t="n">
        <v>2</v>
      </c>
      <c r="P292" t="n">
        <v>0.1695</v>
      </c>
      <c r="Q292" s="172" t="n">
        <v>20</v>
      </c>
      <c r="R292" s="172" t="n">
        <v>3</v>
      </c>
      <c r="S292" s="172" t="inlineStr">
        <is>
          <t>Census PEP Vintage 2025</t>
        </is>
      </c>
      <c r="T292" s="172" t="inlineStr">
        <is>
          <t>https://www2.census.gov/programs-surveys/popest/datasets/2020-2025/state/totals/NST-EST2025-ALLDATA.csv</t>
        </is>
      </c>
    </row>
    <row r="293">
      <c r="A293" s="172" t="n">
        <v>2020</v>
      </c>
      <c r="B293" t="inlineStr">
        <is>
          <t>OK</t>
        </is>
      </c>
      <c r="C293" t="inlineStr">
        <is>
          <t>40</t>
        </is>
      </c>
      <c r="D293" t="inlineStr">
        <is>
          <t>Oklahoma</t>
        </is>
      </c>
      <c r="E293" s="172" t="n">
        <v>28</v>
      </c>
      <c r="F293" s="172" t="n">
        <v>3965243</v>
      </c>
      <c r="G293" s="172" t="n">
        <v>0.7060999999999999</v>
      </c>
      <c r="H293" s="172" t="n">
        <v>7.0614</v>
      </c>
      <c r="I293" s="172" t="n">
        <v>4</v>
      </c>
      <c r="J293" t="n">
        <v>1.0088</v>
      </c>
      <c r="K293" s="172" t="n">
        <v>9</v>
      </c>
      <c r="L293" t="n">
        <v>2.2697</v>
      </c>
      <c r="M293" s="172" t="n">
        <v>5</v>
      </c>
      <c r="N293" t="n">
        <v>1.261</v>
      </c>
      <c r="O293" s="172" t="n">
        <v>6</v>
      </c>
      <c r="P293" t="n">
        <v>1.5131</v>
      </c>
      <c r="Q293" s="172" t="n">
        <v>27</v>
      </c>
      <c r="R293" s="172" t="n">
        <v>1</v>
      </c>
      <c r="S293" s="172" t="inlineStr">
        <is>
          <t>Census PEP Vintage 2025</t>
        </is>
      </c>
      <c r="T293" s="172" t="inlineStr">
        <is>
          <t>https://www2.census.gov/programs-surveys/popest/datasets/2020-2025/state/totals/NST-EST2025-ALLDATA.csv</t>
        </is>
      </c>
    </row>
    <row r="294">
      <c r="A294" s="172" t="n">
        <v>2020</v>
      </c>
      <c r="B294" t="inlineStr">
        <is>
          <t>OR</t>
        </is>
      </c>
      <c r="C294" t="inlineStr">
        <is>
          <t>41</t>
        </is>
      </c>
      <c r="D294" t="inlineStr">
        <is>
          <t>Oregon</t>
        </is>
      </c>
      <c r="E294" s="172" t="n">
        <v>16</v>
      </c>
      <c r="F294" s="172" t="n">
        <v>4243544</v>
      </c>
      <c r="G294" s="172" t="n">
        <v>0.377</v>
      </c>
      <c r="H294" s="172" t="n">
        <v>3.7704</v>
      </c>
      <c r="I294" s="172" t="n">
        <v>0</v>
      </c>
      <c r="J294" t="n">
        <v>0</v>
      </c>
      <c r="K294" s="172" t="n">
        <v>11</v>
      </c>
      <c r="L294" t="n">
        <v>2.5922</v>
      </c>
      <c r="M294" s="172" t="n">
        <v>6</v>
      </c>
      <c r="N294" t="n">
        <v>1.4139</v>
      </c>
      <c r="O294" s="172" t="n">
        <v>3</v>
      </c>
      <c r="P294" t="n">
        <v>0.707</v>
      </c>
      <c r="Q294" s="172" t="n">
        <v>12</v>
      </c>
      <c r="R294" s="172" t="n">
        <v>4</v>
      </c>
      <c r="S294" s="172" t="inlineStr">
        <is>
          <t>Census PEP Vintage 2025</t>
        </is>
      </c>
      <c r="T294" s="172" t="inlineStr">
        <is>
          <t>https://www2.census.gov/programs-surveys/popest/datasets/2020-2025/state/totals/NST-EST2025-ALLDATA.csv</t>
        </is>
      </c>
    </row>
    <row r="295">
      <c r="A295" s="172" t="n">
        <v>2020</v>
      </c>
      <c r="B295" t="inlineStr">
        <is>
          <t>PA</t>
        </is>
      </c>
      <c r="C295" t="inlineStr">
        <is>
          <t>42</t>
        </is>
      </c>
      <c r="D295" t="inlineStr">
        <is>
          <t>Pennsylvania</t>
        </is>
      </c>
      <c r="E295" s="172" t="n">
        <v>19</v>
      </c>
      <c r="F295" s="172" t="n">
        <v>12995576</v>
      </c>
      <c r="G295" s="172" t="n">
        <v>0.1462</v>
      </c>
      <c r="H295" s="172" t="n">
        <v>1.462</v>
      </c>
      <c r="I295" s="172" t="n">
        <v>2</v>
      </c>
      <c r="J295" t="n">
        <v>0.1539</v>
      </c>
      <c r="K295" s="172" t="n">
        <v>12</v>
      </c>
      <c r="L295" t="n">
        <v>0.9234</v>
      </c>
      <c r="M295" s="172" t="n">
        <v>6</v>
      </c>
      <c r="N295" t="n">
        <v>0.4617</v>
      </c>
      <c r="O295" s="172" t="n">
        <v>4</v>
      </c>
      <c r="P295" t="n">
        <v>0.3078</v>
      </c>
      <c r="Q295" s="172" t="n">
        <v>16</v>
      </c>
      <c r="R295" s="172" t="n">
        <v>3</v>
      </c>
      <c r="S295" s="172" t="inlineStr">
        <is>
          <t>Census PEP Vintage 2025</t>
        </is>
      </c>
      <c r="T295" s="172" t="inlineStr">
        <is>
          <t>https://www2.census.gov/programs-surveys/popest/datasets/2020-2025/state/totals/NST-EST2025-ALLDATA.csv</t>
        </is>
      </c>
    </row>
    <row r="296">
      <c r="A296" s="172" t="n">
        <v>2020</v>
      </c>
      <c r="B296" t="inlineStr">
        <is>
          <t>RI</t>
        </is>
      </c>
      <c r="C296" t="inlineStr">
        <is>
          <t>44</t>
        </is>
      </c>
      <c r="D296" t="inlineStr">
        <is>
          <t>Rhode Island</t>
        </is>
      </c>
      <c r="E296" s="172" t="n">
        <v>0</v>
      </c>
      <c r="F296" s="172" t="n">
        <v>1096487</v>
      </c>
      <c r="G296" s="172" t="n">
        <v>0</v>
      </c>
      <c r="H296" s="172" t="n">
        <v>0</v>
      </c>
      <c r="I296" s="172" t="n">
        <v>0</v>
      </c>
      <c r="J296" t="n">
        <v>0</v>
      </c>
      <c r="K296" s="172" t="n">
        <v>0</v>
      </c>
      <c r="L296" t="n">
        <v>0</v>
      </c>
      <c r="M296" s="172" t="n">
        <v>0</v>
      </c>
      <c r="N296" t="n">
        <v>0</v>
      </c>
      <c r="O296" s="172" t="n">
        <v>0</v>
      </c>
      <c r="P296" t="n">
        <v>0</v>
      </c>
      <c r="Q296" s="172" t="n">
        <v>0</v>
      </c>
      <c r="R296" s="172" t="n">
        <v>0</v>
      </c>
      <c r="S296" s="172" t="inlineStr">
        <is>
          <t>Census PEP Vintage 2025</t>
        </is>
      </c>
      <c r="T296" s="172" t="inlineStr">
        <is>
          <t>https://www2.census.gov/programs-surveys/popest/datasets/2020-2025/state/totals/NST-EST2025-ALLDATA.csv</t>
        </is>
      </c>
    </row>
    <row r="297">
      <c r="A297" s="172" t="n">
        <v>2020</v>
      </c>
      <c r="B297" t="inlineStr">
        <is>
          <t>SC</t>
        </is>
      </c>
      <c r="C297" t="inlineStr">
        <is>
          <t>45</t>
        </is>
      </c>
      <c r="D297" t="inlineStr">
        <is>
          <t>South Carolina</t>
        </is>
      </c>
      <c r="E297" s="172" t="n">
        <v>14</v>
      </c>
      <c r="F297" s="172" t="n">
        <v>5131992</v>
      </c>
      <c r="G297" s="172" t="n">
        <v>0.2728</v>
      </c>
      <c r="H297" s="172" t="n">
        <v>2.728</v>
      </c>
      <c r="I297" s="172" t="n">
        <v>0</v>
      </c>
      <c r="J297" t="n">
        <v>0</v>
      </c>
      <c r="K297" s="172" t="n">
        <v>13</v>
      </c>
      <c r="L297" t="n">
        <v>2.5331</v>
      </c>
      <c r="M297" s="172" t="n">
        <v>2</v>
      </c>
      <c r="N297" t="n">
        <v>0.3897</v>
      </c>
      <c r="O297" s="172" t="n">
        <v>0</v>
      </c>
      <c r="P297" t="n">
        <v>0</v>
      </c>
      <c r="Q297" s="172" t="n">
        <v>14</v>
      </c>
      <c r="R297" s="172" t="n">
        <v>0</v>
      </c>
      <c r="S297" s="172" t="inlineStr">
        <is>
          <t>Census PEP Vintage 2025</t>
        </is>
      </c>
      <c r="T297" s="172" t="inlineStr">
        <is>
          <t>https://www2.census.gov/programs-surveys/popest/datasets/2020-2025/state/totals/NST-EST2025-ALLDATA.csv</t>
        </is>
      </c>
    </row>
    <row r="298">
      <c r="A298" s="172" t="n">
        <v>2020</v>
      </c>
      <c r="B298" t="inlineStr">
        <is>
          <t>SD</t>
        </is>
      </c>
      <c r="C298" t="inlineStr">
        <is>
          <t>46</t>
        </is>
      </c>
      <c r="D298" t="inlineStr">
        <is>
          <t>South Dakota</t>
        </is>
      </c>
      <c r="E298" s="172" t="n">
        <v>2</v>
      </c>
      <c r="F298" s="172" t="n">
        <v>887808</v>
      </c>
      <c r="G298" s="172" t="n">
        <v>0.2253</v>
      </c>
      <c r="H298" s="172" t="n">
        <v>2.2527</v>
      </c>
      <c r="I298" s="172" t="n">
        <v>0</v>
      </c>
      <c r="J298" t="n">
        <v>0</v>
      </c>
      <c r="K298" s="172" t="n">
        <v>2</v>
      </c>
      <c r="L298" t="n">
        <v>2.2527</v>
      </c>
      <c r="M298" s="172" t="n">
        <v>0</v>
      </c>
      <c r="N298" t="n">
        <v>0</v>
      </c>
      <c r="O298" s="172" t="n">
        <v>0</v>
      </c>
      <c r="P298" t="n">
        <v>0</v>
      </c>
      <c r="Q298" s="172" t="n">
        <v>0</v>
      </c>
      <c r="R298" s="172" t="n">
        <v>2</v>
      </c>
      <c r="S298" s="172" t="inlineStr">
        <is>
          <t>Census PEP Vintage 2025</t>
        </is>
      </c>
      <c r="T298" s="172" t="inlineStr">
        <is>
          <t>https://www2.census.gov/programs-surveys/popest/datasets/2020-2025/state/totals/NST-EST2025-ALLDATA.csv</t>
        </is>
      </c>
    </row>
    <row r="299">
      <c r="A299" s="172" t="n">
        <v>2020</v>
      </c>
      <c r="B299" t="inlineStr">
        <is>
          <t>TN</t>
        </is>
      </c>
      <c r="C299" t="inlineStr">
        <is>
          <t>47</t>
        </is>
      </c>
      <c r="D299" t="inlineStr">
        <is>
          <t>Tennessee</t>
        </is>
      </c>
      <c r="E299" s="172" t="n">
        <v>29</v>
      </c>
      <c r="F299" s="172" t="n">
        <v>6927736</v>
      </c>
      <c r="G299" s="172" t="n">
        <v>0.4186</v>
      </c>
      <c r="H299" s="172" t="n">
        <v>4.1861</v>
      </c>
      <c r="I299" s="172" t="n">
        <v>2</v>
      </c>
      <c r="J299" t="n">
        <v>0.2887</v>
      </c>
      <c r="K299" s="172" t="n">
        <v>19</v>
      </c>
      <c r="L299" t="n">
        <v>2.7426</v>
      </c>
      <c r="M299" s="172" t="n">
        <v>6</v>
      </c>
      <c r="N299" t="n">
        <v>0.8661</v>
      </c>
      <c r="O299" s="172" t="n">
        <v>1</v>
      </c>
      <c r="P299" t="n">
        <v>0.1443</v>
      </c>
      <c r="Q299" s="172" t="n">
        <v>25</v>
      </c>
      <c r="R299" s="172" t="n">
        <v>4</v>
      </c>
      <c r="S299" s="172" t="inlineStr">
        <is>
          <t>Census PEP Vintage 2025</t>
        </is>
      </c>
      <c r="T299" s="172" t="inlineStr">
        <is>
          <t>https://www2.census.gov/programs-surveys/popest/datasets/2020-2025/state/totals/NST-EST2025-ALLDATA.csv</t>
        </is>
      </c>
    </row>
    <row r="300">
      <c r="A300" s="172" t="n">
        <v>2020</v>
      </c>
      <c r="B300" t="inlineStr">
        <is>
          <t>TX</t>
        </is>
      </c>
      <c r="C300" t="inlineStr">
        <is>
          <t>48</t>
        </is>
      </c>
      <c r="D300" t="inlineStr">
        <is>
          <t>Texas</t>
        </is>
      </c>
      <c r="E300" s="172" t="n">
        <v>83</v>
      </c>
      <c r="F300" s="172" t="n">
        <v>29237895</v>
      </c>
      <c r="G300" s="172" t="n">
        <v>0.2839</v>
      </c>
      <c r="H300" s="172" t="n">
        <v>2.8388</v>
      </c>
      <c r="I300" s="172" t="n">
        <v>6</v>
      </c>
      <c r="J300" t="n">
        <v>0.2052</v>
      </c>
      <c r="K300" s="172" t="n">
        <v>50</v>
      </c>
      <c r="L300" t="n">
        <v>1.7101</v>
      </c>
      <c r="M300" s="172" t="n">
        <v>17</v>
      </c>
      <c r="N300" t="n">
        <v>0.5814</v>
      </c>
      <c r="O300" s="172" t="n">
        <v>11</v>
      </c>
      <c r="P300" t="n">
        <v>0.3762</v>
      </c>
      <c r="Q300" s="172" t="n">
        <v>82</v>
      </c>
      <c r="R300" s="172" t="n">
        <v>1</v>
      </c>
      <c r="S300" s="172" t="inlineStr">
        <is>
          <t>Census PEP Vintage 2025</t>
        </is>
      </c>
      <c r="T300" s="172" t="inlineStr">
        <is>
          <t>https://www2.census.gov/programs-surveys/popest/datasets/2020-2025/state/totals/NST-EST2025-ALLDATA.csv</t>
        </is>
      </c>
    </row>
    <row r="301">
      <c r="A301" s="172" t="n">
        <v>2020</v>
      </c>
      <c r="B301" t="inlineStr">
        <is>
          <t>UT</t>
        </is>
      </c>
      <c r="C301" t="inlineStr">
        <is>
          <t>49</t>
        </is>
      </c>
      <c r="D301" t="inlineStr">
        <is>
          <t>Utah</t>
        </is>
      </c>
      <c r="E301" s="172" t="n">
        <v>17</v>
      </c>
      <c r="F301" s="172" t="n">
        <v>3283970</v>
      </c>
      <c r="G301" s="172" t="n">
        <v>0.5177</v>
      </c>
      <c r="H301" s="172" t="n">
        <v>5.1767</v>
      </c>
      <c r="I301" s="172" t="n">
        <v>1</v>
      </c>
      <c r="J301" t="n">
        <v>0.3045</v>
      </c>
      <c r="K301" s="172" t="n">
        <v>15</v>
      </c>
      <c r="L301" t="n">
        <v>4.5676</v>
      </c>
      <c r="M301" s="172" t="n">
        <v>3</v>
      </c>
      <c r="N301" t="n">
        <v>0.9135</v>
      </c>
      <c r="O301" s="172" t="n">
        <v>5</v>
      </c>
      <c r="P301" t="n">
        <v>1.5225</v>
      </c>
      <c r="Q301" s="172" t="n">
        <v>15</v>
      </c>
      <c r="R301" s="172" t="n">
        <v>2</v>
      </c>
      <c r="S301" s="172" t="inlineStr">
        <is>
          <t>Census PEP Vintage 2025</t>
        </is>
      </c>
      <c r="T301" s="172" t="inlineStr">
        <is>
          <t>https://www2.census.gov/programs-surveys/popest/datasets/2020-2025/state/totals/NST-EST2025-ALLDATA.csv</t>
        </is>
      </c>
    </row>
    <row r="302">
      <c r="A302" s="172" t="n">
        <v>2020</v>
      </c>
      <c r="B302" t="inlineStr">
        <is>
          <t>VA</t>
        </is>
      </c>
      <c r="C302" t="inlineStr">
        <is>
          <t>51</t>
        </is>
      </c>
      <c r="D302" t="inlineStr">
        <is>
          <t>Virginia</t>
        </is>
      </c>
      <c r="E302" s="172" t="n">
        <v>15</v>
      </c>
      <c r="F302" s="172" t="n">
        <v>8637303</v>
      </c>
      <c r="G302" s="172" t="n">
        <v>0.1737</v>
      </c>
      <c r="H302" s="172" t="n">
        <v>1.7367</v>
      </c>
      <c r="I302" s="172" t="n">
        <v>0</v>
      </c>
      <c r="J302" t="n">
        <v>0</v>
      </c>
      <c r="K302" s="172" t="n">
        <v>13</v>
      </c>
      <c r="L302" t="n">
        <v>1.5051</v>
      </c>
      <c r="M302" s="172" t="n">
        <v>3</v>
      </c>
      <c r="N302" t="n">
        <v>0.3473</v>
      </c>
      <c r="O302" s="172" t="n">
        <v>2</v>
      </c>
      <c r="P302" t="n">
        <v>0.2316</v>
      </c>
      <c r="Q302" s="172" t="n">
        <v>14</v>
      </c>
      <c r="R302" s="172" t="n">
        <v>1</v>
      </c>
      <c r="S302" s="172" t="inlineStr">
        <is>
          <t>Census PEP Vintage 2025</t>
        </is>
      </c>
      <c r="T302" s="172" t="inlineStr">
        <is>
          <t>https://www2.census.gov/programs-surveys/popest/datasets/2020-2025/state/totals/NST-EST2025-ALLDATA.csv</t>
        </is>
      </c>
    </row>
    <row r="303">
      <c r="A303" s="172" t="n">
        <v>2020</v>
      </c>
      <c r="B303" t="inlineStr">
        <is>
          <t>VT</t>
        </is>
      </c>
      <c r="C303" t="inlineStr">
        <is>
          <t>50</t>
        </is>
      </c>
      <c r="D303" t="inlineStr">
        <is>
          <t>Vermont</t>
        </is>
      </c>
      <c r="E303" s="172" t="n">
        <v>0</v>
      </c>
      <c r="F303" s="172" t="n">
        <v>642965</v>
      </c>
      <c r="G303" s="172" t="n">
        <v>0</v>
      </c>
      <c r="H303" s="172" t="n">
        <v>0</v>
      </c>
      <c r="I303" s="172" t="n">
        <v>0</v>
      </c>
      <c r="J303" t="n">
        <v>0</v>
      </c>
      <c r="K303" s="172" t="n">
        <v>0</v>
      </c>
      <c r="L303" t="n">
        <v>0</v>
      </c>
      <c r="M303" s="172" t="n">
        <v>0</v>
      </c>
      <c r="N303" t="n">
        <v>0</v>
      </c>
      <c r="O303" s="172" t="n">
        <v>0</v>
      </c>
      <c r="P303" t="n">
        <v>0</v>
      </c>
      <c r="Q303" s="172" t="n">
        <v>0</v>
      </c>
      <c r="R303" s="172" t="n">
        <v>0</v>
      </c>
      <c r="S303" s="172" t="inlineStr">
        <is>
          <t>Census PEP Vintage 2025</t>
        </is>
      </c>
      <c r="T303" s="172" t="inlineStr">
        <is>
          <t>https://www2.census.gov/programs-surveys/popest/datasets/2020-2025/state/totals/NST-EST2025-ALLDATA.csv</t>
        </is>
      </c>
    </row>
    <row r="304">
      <c r="A304" s="172" t="n">
        <v>2020</v>
      </c>
      <c r="B304" t="inlineStr">
        <is>
          <t>WA</t>
        </is>
      </c>
      <c r="C304" t="inlineStr">
        <is>
          <t>53</t>
        </is>
      </c>
      <c r="D304" t="inlineStr">
        <is>
          <t>Washington</t>
        </is>
      </c>
      <c r="E304" s="172" t="n">
        <v>32</v>
      </c>
      <c r="F304" s="172" t="n">
        <v>7726812</v>
      </c>
      <c r="G304" s="172" t="n">
        <v>0.4141</v>
      </c>
      <c r="H304" s="172" t="n">
        <v>4.1414</v>
      </c>
      <c r="I304" s="172" t="n">
        <v>4</v>
      </c>
      <c r="J304" t="n">
        <v>0.5177</v>
      </c>
      <c r="K304" s="172" t="n">
        <v>18</v>
      </c>
      <c r="L304" t="n">
        <v>2.3296</v>
      </c>
      <c r="M304" s="172" t="n">
        <v>10</v>
      </c>
      <c r="N304" t="n">
        <v>1.2942</v>
      </c>
      <c r="O304" s="172" t="n">
        <v>4</v>
      </c>
      <c r="P304" t="n">
        <v>0.5177</v>
      </c>
      <c r="Q304" s="172" t="n">
        <v>26</v>
      </c>
      <c r="R304" s="172" t="n">
        <v>6</v>
      </c>
      <c r="S304" s="172" t="inlineStr">
        <is>
          <t>Census PEP Vintage 2025</t>
        </is>
      </c>
      <c r="T304" s="172" t="inlineStr">
        <is>
          <t>https://www2.census.gov/programs-surveys/popest/datasets/2020-2025/state/totals/NST-EST2025-ALLDATA.csv</t>
        </is>
      </c>
    </row>
    <row r="305">
      <c r="A305" s="172" t="n">
        <v>2020</v>
      </c>
      <c r="B305" t="inlineStr">
        <is>
          <t>WI</t>
        </is>
      </c>
      <c r="C305" t="inlineStr">
        <is>
          <t>55</t>
        </is>
      </c>
      <c r="D305" t="inlineStr">
        <is>
          <t>Wisconsin</t>
        </is>
      </c>
      <c r="E305" s="172" t="n">
        <v>18</v>
      </c>
      <c r="F305" s="172" t="n">
        <v>5897371</v>
      </c>
      <c r="G305" s="172" t="n">
        <v>0.3052</v>
      </c>
      <c r="H305" s="172" t="n">
        <v>3.0522</v>
      </c>
      <c r="I305" s="172" t="n">
        <v>0</v>
      </c>
      <c r="J305" t="n">
        <v>0</v>
      </c>
      <c r="K305" s="172" t="n">
        <v>15</v>
      </c>
      <c r="L305" t="n">
        <v>2.5435</v>
      </c>
      <c r="M305" s="172" t="n">
        <v>3</v>
      </c>
      <c r="N305" t="n">
        <v>0.5087</v>
      </c>
      <c r="O305" s="172" t="n">
        <v>1</v>
      </c>
      <c r="P305" t="n">
        <v>0.1696</v>
      </c>
      <c r="Q305" s="172" t="n">
        <v>18</v>
      </c>
      <c r="R305" s="172" t="n">
        <v>0</v>
      </c>
      <c r="S305" s="172" t="inlineStr">
        <is>
          <t>Census PEP Vintage 2025</t>
        </is>
      </c>
      <c r="T305" s="172" t="inlineStr">
        <is>
          <t>https://www2.census.gov/programs-surveys/popest/datasets/2020-2025/state/totals/NST-EST2025-ALLDATA.csv</t>
        </is>
      </c>
    </row>
    <row r="306">
      <c r="A306" s="172" t="n">
        <v>2020</v>
      </c>
      <c r="B306" t="inlineStr">
        <is>
          <t>WV</t>
        </is>
      </c>
      <c r="C306" t="inlineStr">
        <is>
          <t>54</t>
        </is>
      </c>
      <c r="D306" t="inlineStr">
        <is>
          <t>West Virginia</t>
        </is>
      </c>
      <c r="E306" s="172" t="n">
        <v>6</v>
      </c>
      <c r="F306" s="172" t="n">
        <v>1791670</v>
      </c>
      <c r="G306" s="172" t="n">
        <v>0.3349</v>
      </c>
      <c r="H306" s="172" t="n">
        <v>3.3488</v>
      </c>
      <c r="I306" s="172" t="n">
        <v>1</v>
      </c>
      <c r="J306" t="n">
        <v>0.5581</v>
      </c>
      <c r="K306" s="172" t="n">
        <v>3</v>
      </c>
      <c r="L306" t="n">
        <v>1.6744</v>
      </c>
      <c r="M306" s="172" t="n">
        <v>1</v>
      </c>
      <c r="N306" t="n">
        <v>0.5581</v>
      </c>
      <c r="O306" s="172" t="n">
        <v>0</v>
      </c>
      <c r="P306" t="n">
        <v>0</v>
      </c>
      <c r="Q306" s="172" t="n">
        <v>4</v>
      </c>
      <c r="R306" s="172" t="n">
        <v>2</v>
      </c>
      <c r="S306" s="172" t="inlineStr">
        <is>
          <t>Census PEP Vintage 2025</t>
        </is>
      </c>
      <c r="T306" s="172" t="inlineStr">
        <is>
          <t>https://www2.census.gov/programs-surveys/popest/datasets/2020-2025/state/totals/NST-EST2025-ALLDATA.csv</t>
        </is>
      </c>
    </row>
    <row r="307">
      <c r="A307" s="172" t="n">
        <v>2020</v>
      </c>
      <c r="B307" t="inlineStr">
        <is>
          <t>WY</t>
        </is>
      </c>
      <c r="C307" t="inlineStr">
        <is>
          <t>56</t>
        </is>
      </c>
      <c r="D307" t="inlineStr">
        <is>
          <t>Wyoming</t>
        </is>
      </c>
      <c r="E307" s="172" t="n">
        <v>1</v>
      </c>
      <c r="F307" s="172" t="n">
        <v>577669</v>
      </c>
      <c r="G307" s="172" t="n">
        <v>0.1731</v>
      </c>
      <c r="H307" s="172" t="n">
        <v>1.7311</v>
      </c>
      <c r="I307" s="172" t="n">
        <v>0</v>
      </c>
      <c r="J307" t="n">
        <v>0</v>
      </c>
      <c r="K307" s="172" t="n">
        <v>1</v>
      </c>
      <c r="L307" t="n">
        <v>1.7311</v>
      </c>
      <c r="M307" s="172" t="n">
        <v>0</v>
      </c>
      <c r="N307" t="n">
        <v>0</v>
      </c>
      <c r="O307" s="172" t="n">
        <v>0</v>
      </c>
      <c r="P307" t="n">
        <v>0</v>
      </c>
      <c r="Q307" s="172" t="n">
        <v>1</v>
      </c>
      <c r="R307" s="172" t="n">
        <v>0</v>
      </c>
      <c r="S307" s="172" t="inlineStr">
        <is>
          <t>Census PEP Vintage 2025</t>
        </is>
      </c>
      <c r="T307" s="172" t="inlineStr">
        <is>
          <t>https://www2.census.gov/programs-surveys/popest/datasets/2020-2025/state/totals/NST-EST2025-ALLDATA.csv</t>
        </is>
      </c>
    </row>
    <row r="308">
      <c r="A308" s="172" t="n">
        <v>2021</v>
      </c>
      <c r="B308" t="inlineStr">
        <is>
          <t>AK</t>
        </is>
      </c>
      <c r="C308" t="inlineStr">
        <is>
          <t>02</t>
        </is>
      </c>
      <c r="D308" t="inlineStr">
        <is>
          <t>Alaska</t>
        </is>
      </c>
      <c r="E308" s="172" t="n">
        <v>7</v>
      </c>
      <c r="F308" s="172" t="n">
        <v>734590</v>
      </c>
      <c r="G308" s="172" t="n">
        <v>0.9529</v>
      </c>
      <c r="H308" s="172" t="n">
        <v>9.5291</v>
      </c>
      <c r="I308" s="172" t="n">
        <v>0</v>
      </c>
      <c r="J308" t="n">
        <v>0</v>
      </c>
      <c r="K308" s="172" t="n">
        <v>5</v>
      </c>
      <c r="L308" t="n">
        <v>6.8065</v>
      </c>
      <c r="M308" s="172" t="n">
        <v>0</v>
      </c>
      <c r="N308" t="n">
        <v>0</v>
      </c>
      <c r="O308" s="172" t="n">
        <v>0</v>
      </c>
      <c r="P308" t="n">
        <v>0</v>
      </c>
      <c r="Q308" s="172" t="n">
        <v>6</v>
      </c>
      <c r="R308" s="172" t="n">
        <v>1</v>
      </c>
      <c r="S308" s="172" t="inlineStr">
        <is>
          <t>Census PEP Vintage 2025</t>
        </is>
      </c>
      <c r="T308" s="172" t="inlineStr">
        <is>
          <t>https://www2.census.gov/programs-surveys/popest/datasets/2020-2025/state/totals/NST-EST2025-ALLDATA.csv</t>
        </is>
      </c>
    </row>
    <row r="309">
      <c r="A309" s="172" t="n">
        <v>2021</v>
      </c>
      <c r="B309" t="inlineStr">
        <is>
          <t>AL</t>
        </is>
      </c>
      <c r="C309" t="inlineStr">
        <is>
          <t>01</t>
        </is>
      </c>
      <c r="D309" t="inlineStr">
        <is>
          <t>Alabama</t>
        </is>
      </c>
      <c r="E309" s="172" t="n">
        <v>24</v>
      </c>
      <c r="F309" s="172" t="n">
        <v>5050058</v>
      </c>
      <c r="G309" s="172" t="n">
        <v>0.4752</v>
      </c>
      <c r="H309" s="172" t="n">
        <v>4.7524</v>
      </c>
      <c r="I309" s="172" t="n">
        <v>0</v>
      </c>
      <c r="J309" t="n">
        <v>0</v>
      </c>
      <c r="K309" s="172" t="n">
        <v>16</v>
      </c>
      <c r="L309" t="n">
        <v>3.1683</v>
      </c>
      <c r="M309" s="172" t="n">
        <v>3</v>
      </c>
      <c r="N309" t="n">
        <v>0.5941</v>
      </c>
      <c r="O309" s="172" t="n">
        <v>4</v>
      </c>
      <c r="P309" t="n">
        <v>0.7921</v>
      </c>
      <c r="Q309" s="172" t="n">
        <v>20</v>
      </c>
      <c r="R309" s="172" t="n">
        <v>4</v>
      </c>
      <c r="S309" s="172" t="inlineStr">
        <is>
          <t>Census PEP Vintage 2025</t>
        </is>
      </c>
      <c r="T309" s="172" t="inlineStr">
        <is>
          <t>https://www2.census.gov/programs-surveys/popest/datasets/2020-2025/state/totals/NST-EST2025-ALLDATA.csv</t>
        </is>
      </c>
    </row>
    <row r="310">
      <c r="A310" s="172" t="n">
        <v>2021</v>
      </c>
      <c r="B310" t="inlineStr">
        <is>
          <t>AR</t>
        </is>
      </c>
      <c r="C310" t="inlineStr">
        <is>
          <t>05</t>
        </is>
      </c>
      <c r="D310" t="inlineStr">
        <is>
          <t>Arkansas</t>
        </is>
      </c>
      <c r="E310" s="172" t="n">
        <v>13</v>
      </c>
      <c r="F310" s="172" t="n">
        <v>3027127</v>
      </c>
      <c r="G310" s="172" t="n">
        <v>0.4295</v>
      </c>
      <c r="H310" s="172" t="n">
        <v>4.2945</v>
      </c>
      <c r="I310" s="172" t="n">
        <v>0</v>
      </c>
      <c r="J310" t="n">
        <v>0</v>
      </c>
      <c r="K310" s="172" t="n">
        <v>6</v>
      </c>
      <c r="L310" t="n">
        <v>1.9821</v>
      </c>
      <c r="M310" s="172" t="n">
        <v>0</v>
      </c>
      <c r="N310" t="n">
        <v>0</v>
      </c>
      <c r="O310" s="172" t="n">
        <v>2</v>
      </c>
      <c r="P310" t="n">
        <v>0.6607</v>
      </c>
      <c r="Q310" s="172" t="n">
        <v>12</v>
      </c>
      <c r="R310" s="172" t="n">
        <v>1</v>
      </c>
      <c r="S310" s="172" t="inlineStr">
        <is>
          <t>Census PEP Vintage 2025</t>
        </is>
      </c>
      <c r="T310" s="172" t="inlineStr">
        <is>
          <t>https://www2.census.gov/programs-surveys/popest/datasets/2020-2025/state/totals/NST-EST2025-ALLDATA.csv</t>
        </is>
      </c>
    </row>
    <row r="311">
      <c r="A311" s="172" t="n">
        <v>2021</v>
      </c>
      <c r="B311" t="inlineStr">
        <is>
          <t>AZ</t>
        </is>
      </c>
      <c r="C311" t="inlineStr">
        <is>
          <t>04</t>
        </is>
      </c>
      <c r="D311" t="inlineStr">
        <is>
          <t>Arizona</t>
        </is>
      </c>
      <c r="E311" s="172" t="n">
        <v>37</v>
      </c>
      <c r="F311" s="172" t="n">
        <v>7274022</v>
      </c>
      <c r="G311" s="172" t="n">
        <v>0.5087</v>
      </c>
      <c r="H311" s="172" t="n">
        <v>5.0866</v>
      </c>
      <c r="I311" s="172" t="n">
        <v>1</v>
      </c>
      <c r="J311" t="n">
        <v>0.1375</v>
      </c>
      <c r="K311" s="172" t="n">
        <v>19</v>
      </c>
      <c r="L311" t="n">
        <v>2.612</v>
      </c>
      <c r="M311" s="172" t="n">
        <v>3</v>
      </c>
      <c r="N311" t="n">
        <v>0.4124</v>
      </c>
      <c r="O311" s="172" t="n">
        <v>8</v>
      </c>
      <c r="P311" t="n">
        <v>1.0998</v>
      </c>
      <c r="Q311" s="172" t="n">
        <v>29</v>
      </c>
      <c r="R311" s="172" t="n">
        <v>8</v>
      </c>
      <c r="S311" s="172" t="inlineStr">
        <is>
          <t>Census PEP Vintage 2025</t>
        </is>
      </c>
      <c r="T311" s="172" t="inlineStr">
        <is>
          <t>https://www2.census.gov/programs-surveys/popest/datasets/2020-2025/state/totals/NST-EST2025-ALLDATA.csv</t>
        </is>
      </c>
    </row>
    <row r="312">
      <c r="A312" s="172" t="n">
        <v>2021</v>
      </c>
      <c r="B312" t="inlineStr">
        <is>
          <t>CA</t>
        </is>
      </c>
      <c r="C312" t="inlineStr">
        <is>
          <t>06</t>
        </is>
      </c>
      <c r="D312" t="inlineStr">
        <is>
          <t>California</t>
        </is>
      </c>
      <c r="E312" s="172" t="n">
        <v>141</v>
      </c>
      <c r="F312" s="172" t="n">
        <v>39152927</v>
      </c>
      <c r="G312" s="172" t="n">
        <v>0.3601</v>
      </c>
      <c r="H312" s="172" t="n">
        <v>3.6013</v>
      </c>
      <c r="I312" s="172" t="n">
        <v>10</v>
      </c>
      <c r="J312" t="n">
        <v>0.2554</v>
      </c>
      <c r="K312" s="172" t="n">
        <v>76</v>
      </c>
      <c r="L312" t="n">
        <v>1.9411</v>
      </c>
      <c r="M312" s="172" t="n">
        <v>14</v>
      </c>
      <c r="N312" t="n">
        <v>0.3576</v>
      </c>
      <c r="O312" s="172" t="n">
        <v>48</v>
      </c>
      <c r="P312" t="n">
        <v>1.226</v>
      </c>
      <c r="Q312" s="172" t="n">
        <v>108</v>
      </c>
      <c r="R312" s="172" t="n">
        <v>33</v>
      </c>
      <c r="S312" s="172" t="inlineStr">
        <is>
          <t>Census PEP Vintage 2025</t>
        </is>
      </c>
      <c r="T312" s="172" t="inlineStr">
        <is>
          <t>https://www2.census.gov/programs-surveys/popest/datasets/2020-2025/state/totals/NST-EST2025-ALLDATA.csv</t>
        </is>
      </c>
    </row>
    <row r="313">
      <c r="A313" s="172" t="n">
        <v>2021</v>
      </c>
      <c r="B313" t="inlineStr">
        <is>
          <t>CO</t>
        </is>
      </c>
      <c r="C313" t="inlineStr">
        <is>
          <t>08</t>
        </is>
      </c>
      <c r="D313" t="inlineStr">
        <is>
          <t>Colorado</t>
        </is>
      </c>
      <c r="E313" s="172" t="n">
        <v>41</v>
      </c>
      <c r="F313" s="172" t="n">
        <v>5814368</v>
      </c>
      <c r="G313" s="172" t="n">
        <v>0.7050999999999999</v>
      </c>
      <c r="H313" s="172" t="n">
        <v>7.0515</v>
      </c>
      <c r="I313" s="172" t="n">
        <v>0</v>
      </c>
      <c r="J313" t="n">
        <v>0</v>
      </c>
      <c r="K313" s="172" t="n">
        <v>29</v>
      </c>
      <c r="L313" t="n">
        <v>4.9876</v>
      </c>
      <c r="M313" s="172" t="n">
        <v>4</v>
      </c>
      <c r="N313" t="n">
        <v>0.6879999999999999</v>
      </c>
      <c r="O313" s="172" t="n">
        <v>2</v>
      </c>
      <c r="P313" t="n">
        <v>0.344</v>
      </c>
      <c r="Q313" s="172" t="n">
        <v>34</v>
      </c>
      <c r="R313" s="172" t="n">
        <v>7</v>
      </c>
      <c r="S313" s="172" t="inlineStr">
        <is>
          <t>Census PEP Vintage 2025</t>
        </is>
      </c>
      <c r="T313" s="172" t="inlineStr">
        <is>
          <t>https://www2.census.gov/programs-surveys/popest/datasets/2020-2025/state/totals/NST-EST2025-ALLDATA.csv</t>
        </is>
      </c>
    </row>
    <row r="314">
      <c r="A314" s="172" t="n">
        <v>2021</v>
      </c>
      <c r="B314" t="inlineStr">
        <is>
          <t>CT</t>
        </is>
      </c>
      <c r="C314" t="inlineStr">
        <is>
          <t>09</t>
        </is>
      </c>
      <c r="D314" t="inlineStr">
        <is>
          <t>Connecticut</t>
        </is>
      </c>
      <c r="E314" s="172" t="n">
        <v>2</v>
      </c>
      <c r="F314" s="172" t="n">
        <v>3607765</v>
      </c>
      <c r="G314" s="172" t="n">
        <v>0.0554</v>
      </c>
      <c r="H314" s="172" t="n">
        <v>0.5544</v>
      </c>
      <c r="I314" s="172" t="n">
        <v>0</v>
      </c>
      <c r="J314" t="n">
        <v>0</v>
      </c>
      <c r="K314" s="172" t="n">
        <v>2</v>
      </c>
      <c r="L314" t="n">
        <v>0.5544</v>
      </c>
      <c r="M314" s="172" t="n">
        <v>0</v>
      </c>
      <c r="N314" t="n">
        <v>0</v>
      </c>
      <c r="O314" s="172" t="n">
        <v>1</v>
      </c>
      <c r="P314" t="n">
        <v>0.2772</v>
      </c>
      <c r="Q314" s="172" t="n">
        <v>2</v>
      </c>
      <c r="R314" s="172" t="n">
        <v>0</v>
      </c>
      <c r="S314" s="172" t="inlineStr">
        <is>
          <t>Census PEP Vintage 2025</t>
        </is>
      </c>
      <c r="T314" s="172" t="inlineStr">
        <is>
          <t>https://www2.census.gov/programs-surveys/popest/datasets/2020-2025/state/totals/NST-EST2025-ALLDATA.csv</t>
        </is>
      </c>
    </row>
    <row r="315">
      <c r="A315" s="172" t="n">
        <v>2021</v>
      </c>
      <c r="B315" t="inlineStr">
        <is>
          <t>DC</t>
        </is>
      </c>
      <c r="C315" t="inlineStr">
        <is>
          <t>11</t>
        </is>
      </c>
      <c r="D315" t="inlineStr">
        <is>
          <t>District of Columbia</t>
        </is>
      </c>
      <c r="E315" s="172" t="n">
        <v>7</v>
      </c>
      <c r="F315" s="172" t="n">
        <v>669637</v>
      </c>
      <c r="G315" s="172" t="n">
        <v>1.0453</v>
      </c>
      <c r="H315" s="172" t="n">
        <v>10.4534</v>
      </c>
      <c r="I315" s="172" t="n">
        <v>2</v>
      </c>
      <c r="J315" t="n">
        <v>2.9867</v>
      </c>
      <c r="K315" s="172" t="n">
        <v>3</v>
      </c>
      <c r="L315" t="n">
        <v>4.48</v>
      </c>
      <c r="M315" s="172" t="n">
        <v>1</v>
      </c>
      <c r="N315" t="n">
        <v>1.4933</v>
      </c>
      <c r="O315" s="172" t="n">
        <v>5</v>
      </c>
      <c r="P315" t="n">
        <v>7.4667</v>
      </c>
      <c r="Q315" s="172" t="n">
        <v>7</v>
      </c>
      <c r="R315" s="172" t="n">
        <v>0</v>
      </c>
      <c r="S315" s="172" t="inlineStr">
        <is>
          <t>Census PEP Vintage 2025</t>
        </is>
      </c>
      <c r="T315" s="172" t="inlineStr">
        <is>
          <t>https://www2.census.gov/programs-surveys/popest/datasets/2020-2025/state/totals/NST-EST2025-ALLDATA.csv</t>
        </is>
      </c>
    </row>
    <row r="316">
      <c r="A316" s="172" t="n">
        <v>2021</v>
      </c>
      <c r="B316" t="inlineStr">
        <is>
          <t>DE</t>
        </is>
      </c>
      <c r="C316" t="inlineStr">
        <is>
          <t>10</t>
        </is>
      </c>
      <c r="D316" t="inlineStr">
        <is>
          <t>Delaware</t>
        </is>
      </c>
      <c r="E316" s="172" t="n">
        <v>2</v>
      </c>
      <c r="F316" s="172" t="n">
        <v>1005130</v>
      </c>
      <c r="G316" s="172" t="n">
        <v>0.199</v>
      </c>
      <c r="H316" s="172" t="n">
        <v>1.9898</v>
      </c>
      <c r="I316" s="172" t="n">
        <v>0</v>
      </c>
      <c r="J316" t="n">
        <v>0</v>
      </c>
      <c r="K316" s="172" t="n">
        <v>1</v>
      </c>
      <c r="L316" t="n">
        <v>0.9949</v>
      </c>
      <c r="M316" s="172" t="n">
        <v>0</v>
      </c>
      <c r="N316" t="n">
        <v>0</v>
      </c>
      <c r="O316" s="172" t="n">
        <v>1</v>
      </c>
      <c r="P316" t="n">
        <v>0.9949</v>
      </c>
      <c r="Q316" s="172" t="n">
        <v>2</v>
      </c>
      <c r="R316" s="172" t="n">
        <v>0</v>
      </c>
      <c r="S316" s="172" t="inlineStr">
        <is>
          <t>Census PEP Vintage 2025</t>
        </is>
      </c>
      <c r="T316" s="172" t="inlineStr">
        <is>
          <t>https://www2.census.gov/programs-surveys/popest/datasets/2020-2025/state/totals/NST-EST2025-ALLDATA.csv</t>
        </is>
      </c>
    </row>
    <row r="317">
      <c r="A317" s="172" t="n">
        <v>2021</v>
      </c>
      <c r="B317" t="inlineStr">
        <is>
          <t>FL</t>
        </is>
      </c>
      <c r="C317" t="inlineStr">
        <is>
          <t>12</t>
        </is>
      </c>
      <c r="D317" t="inlineStr">
        <is>
          <t>Florida</t>
        </is>
      </c>
      <c r="E317" s="172" t="n">
        <v>50</v>
      </c>
      <c r="F317" s="172" t="n">
        <v>21836698</v>
      </c>
      <c r="G317" s="172" t="n">
        <v>0.229</v>
      </c>
      <c r="H317" s="172" t="n">
        <v>2.2897</v>
      </c>
      <c r="I317" s="172" t="n">
        <v>1</v>
      </c>
      <c r="J317" t="n">
        <v>0.0458</v>
      </c>
      <c r="K317" s="172" t="n">
        <v>32</v>
      </c>
      <c r="L317" t="n">
        <v>1.4654</v>
      </c>
      <c r="M317" s="172" t="n">
        <v>9</v>
      </c>
      <c r="N317" t="n">
        <v>0.4122</v>
      </c>
      <c r="O317" s="172" t="n">
        <v>10</v>
      </c>
      <c r="P317" t="n">
        <v>0.4579</v>
      </c>
      <c r="Q317" s="172" t="n">
        <v>48</v>
      </c>
      <c r="R317" s="172" t="n">
        <v>2</v>
      </c>
      <c r="S317" s="172" t="inlineStr">
        <is>
          <t>Census PEP Vintage 2025</t>
        </is>
      </c>
      <c r="T317" s="172" t="inlineStr">
        <is>
          <t>https://www2.census.gov/programs-surveys/popest/datasets/2020-2025/state/totals/NST-EST2025-ALLDATA.csv</t>
        </is>
      </c>
    </row>
    <row r="318">
      <c r="A318" s="172" t="n">
        <v>2021</v>
      </c>
      <c r="B318" t="inlineStr">
        <is>
          <t>GA</t>
        </is>
      </c>
      <c r="C318" t="inlineStr">
        <is>
          <t>13</t>
        </is>
      </c>
      <c r="D318" t="inlineStr">
        <is>
          <t>Georgia</t>
        </is>
      </c>
      <c r="E318" s="172" t="n">
        <v>51</v>
      </c>
      <c r="F318" s="172" t="n">
        <v>10793038</v>
      </c>
      <c r="G318" s="172" t="n">
        <v>0.4725</v>
      </c>
      <c r="H318" s="172" t="n">
        <v>4.7253</v>
      </c>
      <c r="I318" s="172" t="n">
        <v>2</v>
      </c>
      <c r="J318" t="n">
        <v>0.1853</v>
      </c>
      <c r="K318" s="172" t="n">
        <v>33</v>
      </c>
      <c r="L318" t="n">
        <v>3.0575</v>
      </c>
      <c r="M318" s="172" t="n">
        <v>4</v>
      </c>
      <c r="N318" t="n">
        <v>0.3706</v>
      </c>
      <c r="O318" s="172" t="n">
        <v>5</v>
      </c>
      <c r="P318" t="n">
        <v>0.4633</v>
      </c>
      <c r="Q318" s="172" t="n">
        <v>44</v>
      </c>
      <c r="R318" s="172" t="n">
        <v>7</v>
      </c>
      <c r="S318" s="172" t="inlineStr">
        <is>
          <t>Census PEP Vintage 2025</t>
        </is>
      </c>
      <c r="T318" s="172" t="inlineStr">
        <is>
          <t>https://www2.census.gov/programs-surveys/popest/datasets/2020-2025/state/totals/NST-EST2025-ALLDATA.csv</t>
        </is>
      </c>
    </row>
    <row r="319">
      <c r="A319" s="172" t="n">
        <v>2021</v>
      </c>
      <c r="B319" t="inlineStr">
        <is>
          <t>HI</t>
        </is>
      </c>
      <c r="C319" t="inlineStr">
        <is>
          <t>15</t>
        </is>
      </c>
      <c r="D319" t="inlineStr">
        <is>
          <t>Hawaii</t>
        </is>
      </c>
      <c r="E319" s="172" t="n">
        <v>6</v>
      </c>
      <c r="F319" s="172" t="n">
        <v>1446909</v>
      </c>
      <c r="G319" s="172" t="n">
        <v>0.4147</v>
      </c>
      <c r="H319" s="172" t="n">
        <v>4.1468</v>
      </c>
      <c r="I319" s="172" t="n">
        <v>1</v>
      </c>
      <c r="J319" t="n">
        <v>0.6911</v>
      </c>
      <c r="K319" s="172" t="n">
        <v>2</v>
      </c>
      <c r="L319" t="n">
        <v>1.3823</v>
      </c>
      <c r="M319" s="172" t="n">
        <v>0</v>
      </c>
      <c r="N319" t="n">
        <v>0</v>
      </c>
      <c r="O319" s="172" t="n">
        <v>5</v>
      </c>
      <c r="P319" t="n">
        <v>3.4556</v>
      </c>
      <c r="Q319" s="172" t="n">
        <v>5</v>
      </c>
      <c r="R319" s="172" t="n">
        <v>1</v>
      </c>
      <c r="S319" s="172" t="inlineStr">
        <is>
          <t>Census PEP Vintage 2025</t>
        </is>
      </c>
      <c r="T319" s="172" t="inlineStr">
        <is>
          <t>https://www2.census.gov/programs-surveys/popest/datasets/2020-2025/state/totals/NST-EST2025-ALLDATA.csv</t>
        </is>
      </c>
    </row>
    <row r="320">
      <c r="A320" s="172" t="n">
        <v>2021</v>
      </c>
      <c r="B320" t="inlineStr">
        <is>
          <t>IA</t>
        </is>
      </c>
      <c r="C320" t="inlineStr">
        <is>
          <t>19</t>
        </is>
      </c>
      <c r="D320" t="inlineStr">
        <is>
          <t>Iowa</t>
        </is>
      </c>
      <c r="E320" s="172" t="n">
        <v>9</v>
      </c>
      <c r="F320" s="172" t="n">
        <v>3199037</v>
      </c>
      <c r="G320" s="172" t="n">
        <v>0.2813</v>
      </c>
      <c r="H320" s="172" t="n">
        <v>2.8133</v>
      </c>
      <c r="I320" s="172" t="n">
        <v>0</v>
      </c>
      <c r="J320" t="n">
        <v>0</v>
      </c>
      <c r="K320" s="172" t="n">
        <v>4</v>
      </c>
      <c r="L320" t="n">
        <v>1.2504</v>
      </c>
      <c r="M320" s="172" t="n">
        <v>0</v>
      </c>
      <c r="N320" t="n">
        <v>0</v>
      </c>
      <c r="O320" s="172" t="n">
        <v>2</v>
      </c>
      <c r="P320" t="n">
        <v>0.6252</v>
      </c>
      <c r="Q320" s="172" t="n">
        <v>8</v>
      </c>
      <c r="R320" s="172" t="n">
        <v>1</v>
      </c>
      <c r="S320" s="172" t="inlineStr">
        <is>
          <t>Census PEP Vintage 2025</t>
        </is>
      </c>
      <c r="T320" s="172" t="inlineStr">
        <is>
          <t>https://www2.census.gov/programs-surveys/popest/datasets/2020-2025/state/totals/NST-EST2025-ALLDATA.csv</t>
        </is>
      </c>
    </row>
    <row r="321">
      <c r="A321" s="172" t="n">
        <v>2021</v>
      </c>
      <c r="B321" t="inlineStr">
        <is>
          <t>ID</t>
        </is>
      </c>
      <c r="C321" t="inlineStr">
        <is>
          <t>16</t>
        </is>
      </c>
      <c r="D321" t="inlineStr">
        <is>
          <t>Idaho</t>
        </is>
      </c>
      <c r="E321" s="172" t="n">
        <v>13</v>
      </c>
      <c r="F321" s="172" t="n">
        <v>1904855</v>
      </c>
      <c r="G321" s="172" t="n">
        <v>0.6825</v>
      </c>
      <c r="H321" s="172" t="n">
        <v>6.8247</v>
      </c>
      <c r="I321" s="172" t="n">
        <v>0</v>
      </c>
      <c r="J321" t="n">
        <v>0</v>
      </c>
      <c r="K321" s="172" t="n">
        <v>10</v>
      </c>
      <c r="L321" t="n">
        <v>5.2497</v>
      </c>
      <c r="M321" s="172" t="n">
        <v>2</v>
      </c>
      <c r="N321" t="n">
        <v>1.0499</v>
      </c>
      <c r="O321" s="172" t="n">
        <v>1</v>
      </c>
      <c r="P321" t="n">
        <v>0.525</v>
      </c>
      <c r="Q321" s="172" t="n">
        <v>10</v>
      </c>
      <c r="R321" s="172" t="n">
        <v>3</v>
      </c>
      <c r="S321" s="172" t="inlineStr">
        <is>
          <t>Census PEP Vintage 2025</t>
        </is>
      </c>
      <c r="T321" s="172" t="inlineStr">
        <is>
          <t>https://www2.census.gov/programs-surveys/popest/datasets/2020-2025/state/totals/NST-EST2025-ALLDATA.csv</t>
        </is>
      </c>
    </row>
    <row r="322">
      <c r="A322" s="172" t="n">
        <v>2021</v>
      </c>
      <c r="B322" t="inlineStr">
        <is>
          <t>IL</t>
        </is>
      </c>
      <c r="C322" t="inlineStr">
        <is>
          <t>17</t>
        </is>
      </c>
      <c r="D322" t="inlineStr">
        <is>
          <t>Illinois</t>
        </is>
      </c>
      <c r="E322" s="172" t="n">
        <v>28</v>
      </c>
      <c r="F322" s="172" t="n">
        <v>12703354</v>
      </c>
      <c r="G322" s="172" t="n">
        <v>0.2204</v>
      </c>
      <c r="H322" s="172" t="n">
        <v>2.2041</v>
      </c>
      <c r="I322" s="172" t="n">
        <v>1</v>
      </c>
      <c r="J322" t="n">
        <v>0.07870000000000001</v>
      </c>
      <c r="K322" s="172" t="n">
        <v>17</v>
      </c>
      <c r="L322" t="n">
        <v>1.3382</v>
      </c>
      <c r="M322" s="172" t="n">
        <v>4</v>
      </c>
      <c r="N322" t="n">
        <v>0.3149</v>
      </c>
      <c r="O322" s="172" t="n">
        <v>6</v>
      </c>
      <c r="P322" t="n">
        <v>0.4723</v>
      </c>
      <c r="Q322" s="172" t="n">
        <v>27</v>
      </c>
      <c r="R322" s="172" t="n">
        <v>1</v>
      </c>
      <c r="S322" s="172" t="inlineStr">
        <is>
          <t>Census PEP Vintage 2025</t>
        </is>
      </c>
      <c r="T322" s="172" t="inlineStr">
        <is>
          <t>https://www2.census.gov/programs-surveys/popest/datasets/2020-2025/state/totals/NST-EST2025-ALLDATA.csv</t>
        </is>
      </c>
    </row>
    <row r="323">
      <c r="A323" s="172" t="n">
        <v>2021</v>
      </c>
      <c r="B323" t="inlineStr">
        <is>
          <t>IN</t>
        </is>
      </c>
      <c r="C323" t="inlineStr">
        <is>
          <t>18</t>
        </is>
      </c>
      <c r="D323" t="inlineStr">
        <is>
          <t>Indiana</t>
        </is>
      </c>
      <c r="E323" s="172" t="n">
        <v>21</v>
      </c>
      <c r="F323" s="172" t="n">
        <v>6814223</v>
      </c>
      <c r="G323" s="172" t="n">
        <v>0.3082</v>
      </c>
      <c r="H323" s="172" t="n">
        <v>3.0818</v>
      </c>
      <c r="I323" s="172" t="n">
        <v>0</v>
      </c>
      <c r="J323" t="n">
        <v>0</v>
      </c>
      <c r="K323" s="172" t="n">
        <v>15</v>
      </c>
      <c r="L323" t="n">
        <v>2.2013</v>
      </c>
      <c r="M323" s="172" t="n">
        <v>4</v>
      </c>
      <c r="N323" t="n">
        <v>0.587</v>
      </c>
      <c r="O323" s="172" t="n">
        <v>5</v>
      </c>
      <c r="P323" t="n">
        <v>0.7338</v>
      </c>
      <c r="Q323" s="172" t="n">
        <v>20</v>
      </c>
      <c r="R323" s="172" t="n">
        <v>1</v>
      </c>
      <c r="S323" s="172" t="inlineStr">
        <is>
          <t>Census PEP Vintage 2025</t>
        </is>
      </c>
      <c r="T323" s="172" t="inlineStr">
        <is>
          <t>https://www2.census.gov/programs-surveys/popest/datasets/2020-2025/state/totals/NST-EST2025-ALLDATA.csv</t>
        </is>
      </c>
    </row>
    <row r="324">
      <c r="A324" s="172" t="n">
        <v>2021</v>
      </c>
      <c r="B324" t="inlineStr">
        <is>
          <t>KS</t>
        </is>
      </c>
      <c r="C324" t="inlineStr">
        <is>
          <t>20</t>
        </is>
      </c>
      <c r="D324" t="inlineStr">
        <is>
          <t>Kansas</t>
        </is>
      </c>
      <c r="E324" s="172" t="n">
        <v>11</v>
      </c>
      <c r="F324" s="172" t="n">
        <v>2938966</v>
      </c>
      <c r="G324" s="172" t="n">
        <v>0.3743</v>
      </c>
      <c r="H324" s="172" t="n">
        <v>3.7428</v>
      </c>
      <c r="I324" s="172" t="n">
        <v>0</v>
      </c>
      <c r="J324" t="n">
        <v>0</v>
      </c>
      <c r="K324" s="172" t="n">
        <v>11</v>
      </c>
      <c r="L324" t="n">
        <v>3.7428</v>
      </c>
      <c r="M324" s="172" t="n">
        <v>2</v>
      </c>
      <c r="N324" t="n">
        <v>0.6805</v>
      </c>
      <c r="O324" s="172" t="n">
        <v>4</v>
      </c>
      <c r="P324" t="n">
        <v>1.361</v>
      </c>
      <c r="Q324" s="172" t="n">
        <v>11</v>
      </c>
      <c r="R324" s="172" t="n">
        <v>0</v>
      </c>
      <c r="S324" s="172" t="inlineStr">
        <is>
          <t>Census PEP Vintage 2025</t>
        </is>
      </c>
      <c r="T324" s="172" t="inlineStr">
        <is>
          <t>https://www2.census.gov/programs-surveys/popest/datasets/2020-2025/state/totals/NST-EST2025-ALLDATA.csv</t>
        </is>
      </c>
    </row>
    <row r="325">
      <c r="A325" s="172" t="n">
        <v>2021</v>
      </c>
      <c r="B325" t="inlineStr">
        <is>
          <t>KY</t>
        </is>
      </c>
      <c r="C325" t="inlineStr">
        <is>
          <t>21</t>
        </is>
      </c>
      <c r="D325" t="inlineStr">
        <is>
          <t>Kentucky</t>
        </is>
      </c>
      <c r="E325" s="172" t="n">
        <v>22</v>
      </c>
      <c r="F325" s="172" t="n">
        <v>4508348</v>
      </c>
      <c r="G325" s="172" t="n">
        <v>0.488</v>
      </c>
      <c r="H325" s="172" t="n">
        <v>4.8798</v>
      </c>
      <c r="I325" s="172" t="n">
        <v>0</v>
      </c>
      <c r="J325" t="n">
        <v>0</v>
      </c>
      <c r="K325" s="172" t="n">
        <v>9</v>
      </c>
      <c r="L325" t="n">
        <v>1.9963</v>
      </c>
      <c r="M325" s="172" t="n">
        <v>2</v>
      </c>
      <c r="N325" t="n">
        <v>0.4436</v>
      </c>
      <c r="O325" s="172" t="n">
        <v>2</v>
      </c>
      <c r="P325" t="n">
        <v>0.4436</v>
      </c>
      <c r="Q325" s="172" t="n">
        <v>19</v>
      </c>
      <c r="R325" s="172" t="n">
        <v>3</v>
      </c>
      <c r="S325" s="172" t="inlineStr">
        <is>
          <t>Census PEP Vintage 2025</t>
        </is>
      </c>
      <c r="T325" s="172" t="inlineStr">
        <is>
          <t>https://www2.census.gov/programs-surveys/popest/datasets/2020-2025/state/totals/NST-EST2025-ALLDATA.csv</t>
        </is>
      </c>
    </row>
    <row r="326">
      <c r="A326" s="172" t="n">
        <v>2021</v>
      </c>
      <c r="B326" t="inlineStr">
        <is>
          <t>LA</t>
        </is>
      </c>
      <c r="C326" t="inlineStr">
        <is>
          <t>22</t>
        </is>
      </c>
      <c r="D326" t="inlineStr">
        <is>
          <t>Louisiana</t>
        </is>
      </c>
      <c r="E326" s="172" t="n">
        <v>22</v>
      </c>
      <c r="F326" s="172" t="n">
        <v>4628595</v>
      </c>
      <c r="G326" s="172" t="n">
        <v>0.4753</v>
      </c>
      <c r="H326" s="172" t="n">
        <v>4.7531</v>
      </c>
      <c r="I326" s="172" t="n">
        <v>0</v>
      </c>
      <c r="J326" t="n">
        <v>0</v>
      </c>
      <c r="K326" s="172" t="n">
        <v>16</v>
      </c>
      <c r="L326" t="n">
        <v>3.4568</v>
      </c>
      <c r="M326" s="172" t="n">
        <v>7</v>
      </c>
      <c r="N326" t="n">
        <v>1.5123</v>
      </c>
      <c r="O326" s="172" t="n">
        <v>1</v>
      </c>
      <c r="P326" t="n">
        <v>0.216</v>
      </c>
      <c r="Q326" s="172" t="n">
        <v>20</v>
      </c>
      <c r="R326" s="172" t="n">
        <v>2</v>
      </c>
      <c r="S326" s="172" t="inlineStr">
        <is>
          <t>Census PEP Vintage 2025</t>
        </is>
      </c>
      <c r="T326" s="172" t="inlineStr">
        <is>
          <t>https://www2.census.gov/programs-surveys/popest/datasets/2020-2025/state/totals/NST-EST2025-ALLDATA.csv</t>
        </is>
      </c>
    </row>
    <row r="327">
      <c r="A327" s="172" t="n">
        <v>2021</v>
      </c>
      <c r="B327" t="inlineStr">
        <is>
          <t>MA</t>
        </is>
      </c>
      <c r="C327" t="inlineStr">
        <is>
          <t>25</t>
        </is>
      </c>
      <c r="D327" t="inlineStr">
        <is>
          <t>Massachusetts</t>
        </is>
      </c>
      <c r="E327" s="172" t="n">
        <v>11</v>
      </c>
      <c r="F327" s="172" t="n">
        <v>6996721</v>
      </c>
      <c r="G327" s="172" t="n">
        <v>0.1572</v>
      </c>
      <c r="H327" s="172" t="n">
        <v>1.5722</v>
      </c>
      <c r="I327" s="172" t="n">
        <v>0</v>
      </c>
      <c r="J327" t="n">
        <v>0</v>
      </c>
      <c r="K327" s="172" t="n">
        <v>8</v>
      </c>
      <c r="L327" t="n">
        <v>1.1434</v>
      </c>
      <c r="M327" s="172" t="n">
        <v>4</v>
      </c>
      <c r="N327" t="n">
        <v>0.5717</v>
      </c>
      <c r="O327" s="172" t="n">
        <v>1</v>
      </c>
      <c r="P327" t="n">
        <v>0.1429</v>
      </c>
      <c r="Q327" s="172" t="n">
        <v>11</v>
      </c>
      <c r="R327" s="172" t="n">
        <v>0</v>
      </c>
      <c r="S327" s="172" t="inlineStr">
        <is>
          <t>Census PEP Vintage 2025</t>
        </is>
      </c>
      <c r="T327" s="172" t="inlineStr">
        <is>
          <t>https://www2.census.gov/programs-surveys/popest/datasets/2020-2025/state/totals/NST-EST2025-ALLDATA.csv</t>
        </is>
      </c>
    </row>
    <row r="328">
      <c r="A328" s="172" t="n">
        <v>2021</v>
      </c>
      <c r="B328" t="inlineStr">
        <is>
          <t>MD</t>
        </is>
      </c>
      <c r="C328" t="inlineStr">
        <is>
          <t>24</t>
        </is>
      </c>
      <c r="D328" t="inlineStr">
        <is>
          <t>Maryland</t>
        </is>
      </c>
      <c r="E328" s="172" t="n">
        <v>16</v>
      </c>
      <c r="F328" s="172" t="n">
        <v>6176035</v>
      </c>
      <c r="G328" s="172" t="n">
        <v>0.2591</v>
      </c>
      <c r="H328" s="172" t="n">
        <v>2.5907</v>
      </c>
      <c r="I328" s="172" t="n">
        <v>0</v>
      </c>
      <c r="J328" t="n">
        <v>0</v>
      </c>
      <c r="K328" s="172" t="n">
        <v>11</v>
      </c>
      <c r="L328" t="n">
        <v>1.7811</v>
      </c>
      <c r="M328" s="172" t="n">
        <v>5</v>
      </c>
      <c r="N328" t="n">
        <v>0.8096</v>
      </c>
      <c r="O328" s="172" t="n">
        <v>4</v>
      </c>
      <c r="P328" t="n">
        <v>0.6477000000000001</v>
      </c>
      <c r="Q328" s="172" t="n">
        <v>16</v>
      </c>
      <c r="R328" s="172" t="n">
        <v>0</v>
      </c>
      <c r="S328" s="172" t="inlineStr">
        <is>
          <t>Census PEP Vintage 2025</t>
        </is>
      </c>
      <c r="T328" s="172" t="inlineStr">
        <is>
          <t>https://www2.census.gov/programs-surveys/popest/datasets/2020-2025/state/totals/NST-EST2025-ALLDATA.csv</t>
        </is>
      </c>
    </row>
    <row r="329">
      <c r="A329" s="172" t="n">
        <v>2021</v>
      </c>
      <c r="B329" t="inlineStr">
        <is>
          <t>ME</t>
        </is>
      </c>
      <c r="C329" t="inlineStr">
        <is>
          <t>23</t>
        </is>
      </c>
      <c r="D329" t="inlineStr">
        <is>
          <t>Maine</t>
        </is>
      </c>
      <c r="E329" s="172" t="n">
        <v>6</v>
      </c>
      <c r="F329" s="172" t="n">
        <v>1379009</v>
      </c>
      <c r="G329" s="172" t="n">
        <v>0.4351</v>
      </c>
      <c r="H329" s="172" t="n">
        <v>4.351</v>
      </c>
      <c r="I329" s="172" t="n">
        <v>0</v>
      </c>
      <c r="J329" t="n">
        <v>0</v>
      </c>
      <c r="K329" s="172" t="n">
        <v>1</v>
      </c>
      <c r="L329" t="n">
        <v>0.7252</v>
      </c>
      <c r="M329" s="172" t="n">
        <v>0</v>
      </c>
      <c r="N329" t="n">
        <v>0</v>
      </c>
      <c r="O329" s="172" t="n">
        <v>0</v>
      </c>
      <c r="P329" t="n">
        <v>0</v>
      </c>
      <c r="Q329" s="172" t="n">
        <v>5</v>
      </c>
      <c r="R329" s="172" t="n">
        <v>1</v>
      </c>
      <c r="S329" s="172" t="inlineStr">
        <is>
          <t>Census PEP Vintage 2025</t>
        </is>
      </c>
      <c r="T329" s="172" t="inlineStr">
        <is>
          <t>https://www2.census.gov/programs-surveys/popest/datasets/2020-2025/state/totals/NST-EST2025-ALLDATA.csv</t>
        </is>
      </c>
    </row>
    <row r="330">
      <c r="A330" s="172" t="n">
        <v>2021</v>
      </c>
      <c r="B330" t="inlineStr">
        <is>
          <t>MI</t>
        </is>
      </c>
      <c r="C330" t="inlineStr">
        <is>
          <t>26</t>
        </is>
      </c>
      <c r="D330" t="inlineStr">
        <is>
          <t>Michigan</t>
        </is>
      </c>
      <c r="E330" s="172" t="n">
        <v>25</v>
      </c>
      <c r="F330" s="172" t="n">
        <v>10042362</v>
      </c>
      <c r="G330" s="172" t="n">
        <v>0.2489</v>
      </c>
      <c r="H330" s="172" t="n">
        <v>2.4895</v>
      </c>
      <c r="I330" s="172" t="n">
        <v>1</v>
      </c>
      <c r="J330" t="n">
        <v>0.09959999999999999</v>
      </c>
      <c r="K330" s="172" t="n">
        <v>15</v>
      </c>
      <c r="L330" t="n">
        <v>1.4937</v>
      </c>
      <c r="M330" s="172" t="n">
        <v>3</v>
      </c>
      <c r="N330" t="n">
        <v>0.2987</v>
      </c>
      <c r="O330" s="172" t="n">
        <v>4</v>
      </c>
      <c r="P330" t="n">
        <v>0.3983</v>
      </c>
      <c r="Q330" s="172" t="n">
        <v>20</v>
      </c>
      <c r="R330" s="172" t="n">
        <v>5</v>
      </c>
      <c r="S330" s="172" t="inlineStr">
        <is>
          <t>Census PEP Vintage 2025</t>
        </is>
      </c>
      <c r="T330" s="172" t="inlineStr">
        <is>
          <t>https://www2.census.gov/programs-surveys/popest/datasets/2020-2025/state/totals/NST-EST2025-ALLDATA.csv</t>
        </is>
      </c>
    </row>
    <row r="331">
      <c r="A331" s="172" t="n">
        <v>2021</v>
      </c>
      <c r="B331" t="inlineStr">
        <is>
          <t>MN</t>
        </is>
      </c>
      <c r="C331" t="inlineStr">
        <is>
          <t>27</t>
        </is>
      </c>
      <c r="D331" t="inlineStr">
        <is>
          <t>Minnesota</t>
        </is>
      </c>
      <c r="E331" s="172" t="n">
        <v>12</v>
      </c>
      <c r="F331" s="172" t="n">
        <v>5714055</v>
      </c>
      <c r="G331" s="172" t="n">
        <v>0.21</v>
      </c>
      <c r="H331" s="172" t="n">
        <v>2.1001</v>
      </c>
      <c r="I331" s="172" t="n">
        <v>0</v>
      </c>
      <c r="J331" t="n">
        <v>0</v>
      </c>
      <c r="K331" s="172" t="n">
        <v>7</v>
      </c>
      <c r="L331" t="n">
        <v>1.225</v>
      </c>
      <c r="M331" s="172" t="n">
        <v>1</v>
      </c>
      <c r="N331" t="n">
        <v>0.175</v>
      </c>
      <c r="O331" s="172" t="n">
        <v>7</v>
      </c>
      <c r="P331" t="n">
        <v>1.225</v>
      </c>
      <c r="Q331" s="172" t="n">
        <v>11</v>
      </c>
      <c r="R331" s="172" t="n">
        <v>1</v>
      </c>
      <c r="S331" s="172" t="inlineStr">
        <is>
          <t>Census PEP Vintage 2025</t>
        </is>
      </c>
      <c r="T331" s="172" t="inlineStr">
        <is>
          <t>https://www2.census.gov/programs-surveys/popest/datasets/2020-2025/state/totals/NST-EST2025-ALLDATA.csv</t>
        </is>
      </c>
    </row>
    <row r="332">
      <c r="A332" s="172" t="n">
        <v>2021</v>
      </c>
      <c r="B332" t="inlineStr">
        <is>
          <t>MO</t>
        </is>
      </c>
      <c r="C332" t="inlineStr">
        <is>
          <t>29</t>
        </is>
      </c>
      <c r="D332" t="inlineStr">
        <is>
          <t>Missouri</t>
        </is>
      </c>
      <c r="E332" s="172" t="n">
        <v>31</v>
      </c>
      <c r="F332" s="172" t="n">
        <v>6172551</v>
      </c>
      <c r="G332" s="172" t="n">
        <v>0.5022</v>
      </c>
      <c r="H332" s="172" t="n">
        <v>5.0222</v>
      </c>
      <c r="I332" s="172" t="n">
        <v>0</v>
      </c>
      <c r="J332" t="n">
        <v>0</v>
      </c>
      <c r="K332" s="172" t="n">
        <v>23</v>
      </c>
      <c r="L332" t="n">
        <v>3.7262</v>
      </c>
      <c r="M332" s="172" t="n">
        <v>6</v>
      </c>
      <c r="N332" t="n">
        <v>0.972</v>
      </c>
      <c r="O332" s="172" t="n">
        <v>1</v>
      </c>
      <c r="P332" t="n">
        <v>0.162</v>
      </c>
      <c r="Q332" s="172" t="n">
        <v>27</v>
      </c>
      <c r="R332" s="172" t="n">
        <v>4</v>
      </c>
      <c r="S332" s="172" t="inlineStr">
        <is>
          <t>Census PEP Vintage 2025</t>
        </is>
      </c>
      <c r="T332" s="172" t="inlineStr">
        <is>
          <t>https://www2.census.gov/programs-surveys/popest/datasets/2020-2025/state/totals/NST-EST2025-ALLDATA.csv</t>
        </is>
      </c>
    </row>
    <row r="333">
      <c r="A333" s="172" t="n">
        <v>2021</v>
      </c>
      <c r="B333" t="inlineStr">
        <is>
          <t>MS</t>
        </is>
      </c>
      <c r="C333" t="inlineStr">
        <is>
          <t>28</t>
        </is>
      </c>
      <c r="D333" t="inlineStr">
        <is>
          <t>Mississippi</t>
        </is>
      </c>
      <c r="E333" s="172" t="n">
        <v>22</v>
      </c>
      <c r="F333" s="172" t="n">
        <v>2947603</v>
      </c>
      <c r="G333" s="172" t="n">
        <v>0.7464</v>
      </c>
      <c r="H333" s="172" t="n">
        <v>7.4637</v>
      </c>
      <c r="I333" s="172" t="n">
        <v>0</v>
      </c>
      <c r="J333" t="n">
        <v>0</v>
      </c>
      <c r="K333" s="172" t="n">
        <v>10</v>
      </c>
      <c r="L333" t="n">
        <v>3.3926</v>
      </c>
      <c r="M333" s="172" t="n">
        <v>2</v>
      </c>
      <c r="N333" t="n">
        <v>0.6785</v>
      </c>
      <c r="O333" s="172" t="n">
        <v>1</v>
      </c>
      <c r="P333" t="n">
        <v>0.3393</v>
      </c>
      <c r="Q333" s="172" t="n">
        <v>16</v>
      </c>
      <c r="R333" s="172" t="n">
        <v>6</v>
      </c>
      <c r="S333" s="172" t="inlineStr">
        <is>
          <t>Census PEP Vintage 2025</t>
        </is>
      </c>
      <c r="T333" s="172" t="inlineStr">
        <is>
          <t>https://www2.census.gov/programs-surveys/popest/datasets/2020-2025/state/totals/NST-EST2025-ALLDATA.csv</t>
        </is>
      </c>
    </row>
    <row r="334">
      <c r="A334" s="172" t="n">
        <v>2021</v>
      </c>
      <c r="B334" t="inlineStr">
        <is>
          <t>MT</t>
        </is>
      </c>
      <c r="C334" t="inlineStr">
        <is>
          <t>30</t>
        </is>
      </c>
      <c r="D334" t="inlineStr">
        <is>
          <t>Montana</t>
        </is>
      </c>
      <c r="E334" s="172" t="n">
        <v>7</v>
      </c>
      <c r="F334" s="172" t="n">
        <v>1106416</v>
      </c>
      <c r="G334" s="172" t="n">
        <v>0.6327</v>
      </c>
      <c r="H334" s="172" t="n">
        <v>6.3267</v>
      </c>
      <c r="I334" s="172" t="n">
        <v>0</v>
      </c>
      <c r="J334" t="n">
        <v>0</v>
      </c>
      <c r="K334" s="172" t="n">
        <v>3</v>
      </c>
      <c r="L334" t="n">
        <v>2.7115</v>
      </c>
      <c r="M334" s="172" t="n">
        <v>0</v>
      </c>
      <c r="N334" t="n">
        <v>0</v>
      </c>
      <c r="O334" s="172" t="n">
        <v>0</v>
      </c>
      <c r="P334" t="n">
        <v>0</v>
      </c>
      <c r="Q334" s="172" t="n">
        <v>6</v>
      </c>
      <c r="R334" s="172" t="n">
        <v>1</v>
      </c>
      <c r="S334" s="172" t="inlineStr">
        <is>
          <t>Census PEP Vintage 2025</t>
        </is>
      </c>
      <c r="T334" s="172" t="inlineStr">
        <is>
          <t>https://www2.census.gov/programs-surveys/popest/datasets/2020-2025/state/totals/NST-EST2025-ALLDATA.csv</t>
        </is>
      </c>
    </row>
    <row r="335">
      <c r="A335" s="172" t="n">
        <v>2021</v>
      </c>
      <c r="B335" t="inlineStr">
        <is>
          <t>NC</t>
        </is>
      </c>
      <c r="C335" t="inlineStr">
        <is>
          <t>37</t>
        </is>
      </c>
      <c r="D335" t="inlineStr">
        <is>
          <t>North Carolina</t>
        </is>
      </c>
      <c r="E335" s="172" t="n">
        <v>27</v>
      </c>
      <c r="F335" s="172" t="n">
        <v>10565503</v>
      </c>
      <c r="G335" s="172" t="n">
        <v>0.2555</v>
      </c>
      <c r="H335" s="172" t="n">
        <v>2.5555</v>
      </c>
      <c r="I335" s="172" t="n">
        <v>2</v>
      </c>
      <c r="J335" t="n">
        <v>0.1893</v>
      </c>
      <c r="K335" s="172" t="n">
        <v>13</v>
      </c>
      <c r="L335" t="n">
        <v>1.2304</v>
      </c>
      <c r="M335" s="172" t="n">
        <v>2</v>
      </c>
      <c r="N335" t="n">
        <v>0.1893</v>
      </c>
      <c r="O335" s="172" t="n">
        <v>5</v>
      </c>
      <c r="P335" t="n">
        <v>0.4732</v>
      </c>
      <c r="Q335" s="172" t="n">
        <v>27</v>
      </c>
      <c r="R335" s="172" t="n">
        <v>0</v>
      </c>
      <c r="S335" s="172" t="inlineStr">
        <is>
          <t>Census PEP Vintage 2025</t>
        </is>
      </c>
      <c r="T335" s="172" t="inlineStr">
        <is>
          <t>https://www2.census.gov/programs-surveys/popest/datasets/2020-2025/state/totals/NST-EST2025-ALLDATA.csv</t>
        </is>
      </c>
    </row>
    <row r="336">
      <c r="A336" s="172" t="n">
        <v>2021</v>
      </c>
      <c r="B336" t="inlineStr">
        <is>
          <t>ND</t>
        </is>
      </c>
      <c r="C336" t="inlineStr">
        <is>
          <t>38</t>
        </is>
      </c>
      <c r="D336" t="inlineStr">
        <is>
          <t>North Dakota</t>
        </is>
      </c>
      <c r="E336" s="172" t="n">
        <v>3</v>
      </c>
      <c r="F336" s="172" t="n">
        <v>777977</v>
      </c>
      <c r="G336" s="172" t="n">
        <v>0.3856</v>
      </c>
      <c r="H336" s="172" t="n">
        <v>3.8562</v>
      </c>
      <c r="I336" s="172" t="n">
        <v>0</v>
      </c>
      <c r="J336" t="n">
        <v>0</v>
      </c>
      <c r="K336" s="172" t="n">
        <v>2</v>
      </c>
      <c r="L336" t="n">
        <v>2.5708</v>
      </c>
      <c r="M336" s="172" t="n">
        <v>1</v>
      </c>
      <c r="N336" t="n">
        <v>1.2854</v>
      </c>
      <c r="O336" s="172" t="n">
        <v>1</v>
      </c>
      <c r="P336" t="n">
        <v>1.2854</v>
      </c>
      <c r="Q336" s="172" t="n">
        <v>3</v>
      </c>
      <c r="R336" s="172" t="n">
        <v>0</v>
      </c>
      <c r="S336" s="172" t="inlineStr">
        <is>
          <t>Census PEP Vintage 2025</t>
        </is>
      </c>
      <c r="T336" s="172" t="inlineStr">
        <is>
          <t>https://www2.census.gov/programs-surveys/popest/datasets/2020-2025/state/totals/NST-EST2025-ALLDATA.csv</t>
        </is>
      </c>
    </row>
    <row r="337">
      <c r="A337" s="172" t="n">
        <v>2021</v>
      </c>
      <c r="B337" t="inlineStr">
        <is>
          <t>NE</t>
        </is>
      </c>
      <c r="C337" t="inlineStr">
        <is>
          <t>31</t>
        </is>
      </c>
      <c r="D337" t="inlineStr">
        <is>
          <t>Nebraska</t>
        </is>
      </c>
      <c r="E337" s="172" t="n">
        <v>10</v>
      </c>
      <c r="F337" s="172" t="n">
        <v>1964697</v>
      </c>
      <c r="G337" s="172" t="n">
        <v>0.509</v>
      </c>
      <c r="H337" s="172" t="n">
        <v>5.0898</v>
      </c>
      <c r="I337" s="172" t="n">
        <v>0</v>
      </c>
      <c r="J337" t="n">
        <v>0</v>
      </c>
      <c r="K337" s="172" t="n">
        <v>9</v>
      </c>
      <c r="L337" t="n">
        <v>4.5809</v>
      </c>
      <c r="M337" s="172" t="n">
        <v>3</v>
      </c>
      <c r="N337" t="n">
        <v>1.527</v>
      </c>
      <c r="O337" s="172" t="n">
        <v>3</v>
      </c>
      <c r="P337" t="n">
        <v>1.527</v>
      </c>
      <c r="Q337" s="172" t="n">
        <v>10</v>
      </c>
      <c r="R337" s="172" t="n">
        <v>0</v>
      </c>
      <c r="S337" s="172" t="inlineStr">
        <is>
          <t>Census PEP Vintage 2025</t>
        </is>
      </c>
      <c r="T337" s="172" t="inlineStr">
        <is>
          <t>https://www2.census.gov/programs-surveys/popest/datasets/2020-2025/state/totals/NST-EST2025-ALLDATA.csv</t>
        </is>
      </c>
    </row>
    <row r="338">
      <c r="A338" s="172" t="n">
        <v>2021</v>
      </c>
      <c r="B338" t="inlineStr">
        <is>
          <t>NH</t>
        </is>
      </c>
      <c r="C338" t="inlineStr">
        <is>
          <t>33</t>
        </is>
      </c>
      <c r="D338" t="inlineStr">
        <is>
          <t>New Hampshire</t>
        </is>
      </c>
      <c r="E338" s="172" t="n">
        <v>2</v>
      </c>
      <c r="F338" s="172" t="n">
        <v>1387907</v>
      </c>
      <c r="G338" s="172" t="n">
        <v>0.1441</v>
      </c>
      <c r="H338" s="172" t="n">
        <v>1.441</v>
      </c>
      <c r="I338" s="172" t="n">
        <v>0</v>
      </c>
      <c r="J338" t="n">
        <v>0</v>
      </c>
      <c r="K338" s="172" t="n">
        <v>2</v>
      </c>
      <c r="L338" t="n">
        <v>1.441</v>
      </c>
      <c r="M338" s="172" t="n">
        <v>1</v>
      </c>
      <c r="N338" t="n">
        <v>0.7205</v>
      </c>
      <c r="O338" s="172" t="n">
        <v>0</v>
      </c>
      <c r="P338" t="n">
        <v>0</v>
      </c>
      <c r="Q338" s="172" t="n">
        <v>2</v>
      </c>
      <c r="R338" s="172" t="n">
        <v>0</v>
      </c>
      <c r="S338" s="172" t="inlineStr">
        <is>
          <t>Census PEP Vintage 2025</t>
        </is>
      </c>
      <c r="T338" s="172" t="inlineStr">
        <is>
          <t>https://www2.census.gov/programs-surveys/popest/datasets/2020-2025/state/totals/NST-EST2025-ALLDATA.csv</t>
        </is>
      </c>
    </row>
    <row r="339">
      <c r="A339" s="172" t="n">
        <v>2021</v>
      </c>
      <c r="B339" t="inlineStr">
        <is>
          <t>NJ</t>
        </is>
      </c>
      <c r="C339" t="inlineStr">
        <is>
          <t>34</t>
        </is>
      </c>
      <c r="D339" t="inlineStr">
        <is>
          <t>New Jersey</t>
        </is>
      </c>
      <c r="E339" s="172" t="n">
        <v>11</v>
      </c>
      <c r="F339" s="172" t="n">
        <v>9266509</v>
      </c>
      <c r="G339" s="172" t="n">
        <v>0.1187</v>
      </c>
      <c r="H339" s="172" t="n">
        <v>1.1871</v>
      </c>
      <c r="I339" s="172" t="n">
        <v>0</v>
      </c>
      <c r="J339" t="n">
        <v>0</v>
      </c>
      <c r="K339" s="172" t="n">
        <v>2</v>
      </c>
      <c r="L339" t="n">
        <v>0.2158</v>
      </c>
      <c r="M339" s="172" t="n">
        <v>2</v>
      </c>
      <c r="N339" t="n">
        <v>0.2158</v>
      </c>
      <c r="O339" s="172" t="n">
        <v>4</v>
      </c>
      <c r="P339" t="n">
        <v>0.4317</v>
      </c>
      <c r="Q339" s="172" t="n">
        <v>8</v>
      </c>
      <c r="R339" s="172" t="n">
        <v>3</v>
      </c>
      <c r="S339" s="172" t="inlineStr">
        <is>
          <t>Census PEP Vintage 2025</t>
        </is>
      </c>
      <c r="T339" s="172" t="inlineStr">
        <is>
          <t>https://www2.census.gov/programs-surveys/popest/datasets/2020-2025/state/totals/NST-EST2025-ALLDATA.csv</t>
        </is>
      </c>
    </row>
    <row r="340">
      <c r="A340" s="172" t="n">
        <v>2021</v>
      </c>
      <c r="B340" t="inlineStr">
        <is>
          <t>NM</t>
        </is>
      </c>
      <c r="C340" t="inlineStr">
        <is>
          <t>35</t>
        </is>
      </c>
      <c r="D340" t="inlineStr">
        <is>
          <t>New Mexico</t>
        </is>
      </c>
      <c r="E340" s="172" t="n">
        <v>26</v>
      </c>
      <c r="F340" s="172" t="n">
        <v>2117300</v>
      </c>
      <c r="G340" s="172" t="n">
        <v>1.228</v>
      </c>
      <c r="H340" s="172" t="n">
        <v>12.2798</v>
      </c>
      <c r="I340" s="172" t="n">
        <v>1</v>
      </c>
      <c r="J340" t="n">
        <v>0.4723</v>
      </c>
      <c r="K340" s="172" t="n">
        <v>18</v>
      </c>
      <c r="L340" t="n">
        <v>8.5014</v>
      </c>
      <c r="M340" s="172" t="n">
        <v>2</v>
      </c>
      <c r="N340" t="n">
        <v>0.9446</v>
      </c>
      <c r="O340" s="172" t="n">
        <v>5</v>
      </c>
      <c r="P340" t="n">
        <v>2.3615</v>
      </c>
      <c r="Q340" s="172" t="n">
        <v>21</v>
      </c>
      <c r="R340" s="172" t="n">
        <v>5</v>
      </c>
      <c r="S340" s="172" t="inlineStr">
        <is>
          <t>Census PEP Vintage 2025</t>
        </is>
      </c>
      <c r="T340" s="172" t="inlineStr">
        <is>
          <t>https://www2.census.gov/programs-surveys/popest/datasets/2020-2025/state/totals/NST-EST2025-ALLDATA.csv</t>
        </is>
      </c>
    </row>
    <row r="341">
      <c r="A341" s="172" t="n">
        <v>2021</v>
      </c>
      <c r="B341" t="inlineStr">
        <is>
          <t>NV</t>
        </is>
      </c>
      <c r="C341" t="inlineStr">
        <is>
          <t>32</t>
        </is>
      </c>
      <c r="D341" t="inlineStr">
        <is>
          <t>Nevada</t>
        </is>
      </c>
      <c r="E341" s="172" t="n">
        <v>12</v>
      </c>
      <c r="F341" s="172" t="n">
        <v>3148472</v>
      </c>
      <c r="G341" s="172" t="n">
        <v>0.3811</v>
      </c>
      <c r="H341" s="172" t="n">
        <v>3.8114</v>
      </c>
      <c r="I341" s="172" t="n">
        <v>0</v>
      </c>
      <c r="J341" t="n">
        <v>0</v>
      </c>
      <c r="K341" s="172" t="n">
        <v>7</v>
      </c>
      <c r="L341" t="n">
        <v>2.2233</v>
      </c>
      <c r="M341" s="172" t="n">
        <v>1</v>
      </c>
      <c r="N341" t="n">
        <v>0.3176</v>
      </c>
      <c r="O341" s="172" t="n">
        <v>3</v>
      </c>
      <c r="P341" t="n">
        <v>0.9528</v>
      </c>
      <c r="Q341" s="172" t="n">
        <v>10</v>
      </c>
      <c r="R341" s="172" t="n">
        <v>2</v>
      </c>
      <c r="S341" s="172" t="inlineStr">
        <is>
          <t>Census PEP Vintage 2025</t>
        </is>
      </c>
      <c r="T341" s="172" t="inlineStr">
        <is>
          <t>https://www2.census.gov/programs-surveys/popest/datasets/2020-2025/state/totals/NST-EST2025-ALLDATA.csv</t>
        </is>
      </c>
    </row>
    <row r="342">
      <c r="A342" s="172" t="n">
        <v>2021</v>
      </c>
      <c r="B342" t="inlineStr">
        <is>
          <t>NY</t>
        </is>
      </c>
      <c r="C342" t="inlineStr">
        <is>
          <t>36</t>
        </is>
      </c>
      <c r="D342" t="inlineStr">
        <is>
          <t>New York</t>
        </is>
      </c>
      <c r="E342" s="172" t="n">
        <v>19</v>
      </c>
      <c r="F342" s="172" t="n">
        <v>19835345</v>
      </c>
      <c r="G342" s="172" t="n">
        <v>0.0958</v>
      </c>
      <c r="H342" s="172" t="n">
        <v>0.9579</v>
      </c>
      <c r="I342" s="172" t="n">
        <v>0</v>
      </c>
      <c r="J342" t="n">
        <v>0</v>
      </c>
      <c r="K342" s="172" t="n">
        <v>8</v>
      </c>
      <c r="L342" t="n">
        <v>0.4033</v>
      </c>
      <c r="M342" s="172" t="n">
        <v>5</v>
      </c>
      <c r="N342" t="n">
        <v>0.2521</v>
      </c>
      <c r="O342" s="172" t="n">
        <v>7</v>
      </c>
      <c r="P342" t="n">
        <v>0.3529</v>
      </c>
      <c r="Q342" s="172" t="n">
        <v>19</v>
      </c>
      <c r="R342" s="172" t="n">
        <v>0</v>
      </c>
      <c r="S342" s="172" t="inlineStr">
        <is>
          <t>Census PEP Vintage 2025</t>
        </is>
      </c>
      <c r="T342" s="172" t="inlineStr">
        <is>
          <t>https://www2.census.gov/programs-surveys/popest/datasets/2020-2025/state/totals/NST-EST2025-ALLDATA.csv</t>
        </is>
      </c>
    </row>
    <row r="343">
      <c r="A343" s="172" t="n">
        <v>2021</v>
      </c>
      <c r="B343" t="inlineStr">
        <is>
          <t>OH</t>
        </is>
      </c>
      <c r="C343" t="inlineStr">
        <is>
          <t>39</t>
        </is>
      </c>
      <c r="D343" t="inlineStr">
        <is>
          <t>Ohio</t>
        </is>
      </c>
      <c r="E343" s="172" t="n">
        <v>26</v>
      </c>
      <c r="F343" s="172" t="n">
        <v>11761443</v>
      </c>
      <c r="G343" s="172" t="n">
        <v>0.2211</v>
      </c>
      <c r="H343" s="172" t="n">
        <v>2.2106</v>
      </c>
      <c r="I343" s="172" t="n">
        <v>1</v>
      </c>
      <c r="J343" t="n">
        <v>0.08500000000000001</v>
      </c>
      <c r="K343" s="172" t="n">
        <v>17</v>
      </c>
      <c r="L343" t="n">
        <v>1.4454</v>
      </c>
      <c r="M343" s="172" t="n">
        <v>5</v>
      </c>
      <c r="N343" t="n">
        <v>0.4251</v>
      </c>
      <c r="O343" s="172" t="n">
        <v>8</v>
      </c>
      <c r="P343" t="n">
        <v>0.6802</v>
      </c>
      <c r="Q343" s="172" t="n">
        <v>26</v>
      </c>
      <c r="R343" s="172" t="n">
        <v>0</v>
      </c>
      <c r="S343" s="172" t="inlineStr">
        <is>
          <t>Census PEP Vintage 2025</t>
        </is>
      </c>
      <c r="T343" s="172" t="inlineStr">
        <is>
          <t>https://www2.census.gov/programs-surveys/popest/datasets/2020-2025/state/totals/NST-EST2025-ALLDATA.csv</t>
        </is>
      </c>
    </row>
    <row r="344">
      <c r="A344" s="172" t="n">
        <v>2021</v>
      </c>
      <c r="B344" t="inlineStr">
        <is>
          <t>OK</t>
        </is>
      </c>
      <c r="C344" t="inlineStr">
        <is>
          <t>40</t>
        </is>
      </c>
      <c r="D344" t="inlineStr">
        <is>
          <t>Oklahoma</t>
        </is>
      </c>
      <c r="E344" s="172" t="n">
        <v>18</v>
      </c>
      <c r="F344" s="172" t="n">
        <v>3992760</v>
      </c>
      <c r="G344" s="172" t="n">
        <v>0.4508</v>
      </c>
      <c r="H344" s="172" t="n">
        <v>4.5082</v>
      </c>
      <c r="I344" s="172" t="n">
        <v>0</v>
      </c>
      <c r="J344" t="n">
        <v>0</v>
      </c>
      <c r="K344" s="172" t="n">
        <v>11</v>
      </c>
      <c r="L344" t="n">
        <v>2.755</v>
      </c>
      <c r="M344" s="172" t="n">
        <v>5</v>
      </c>
      <c r="N344" t="n">
        <v>1.2523</v>
      </c>
      <c r="O344" s="172" t="n">
        <v>5</v>
      </c>
      <c r="P344" t="n">
        <v>1.2523</v>
      </c>
      <c r="Q344" s="172" t="n">
        <v>15</v>
      </c>
      <c r="R344" s="172" t="n">
        <v>3</v>
      </c>
      <c r="S344" s="172" t="inlineStr">
        <is>
          <t>Census PEP Vintage 2025</t>
        </is>
      </c>
      <c r="T344" s="172" t="inlineStr">
        <is>
          <t>https://www2.census.gov/programs-surveys/popest/datasets/2020-2025/state/totals/NST-EST2025-ALLDATA.csv</t>
        </is>
      </c>
    </row>
    <row r="345">
      <c r="A345" s="172" t="n">
        <v>2021</v>
      </c>
      <c r="B345" t="inlineStr">
        <is>
          <t>OR</t>
        </is>
      </c>
      <c r="C345" t="inlineStr">
        <is>
          <t>41</t>
        </is>
      </c>
      <c r="D345" t="inlineStr">
        <is>
          <t>Oregon</t>
        </is>
      </c>
      <c r="E345" s="172" t="n">
        <v>17</v>
      </c>
      <c r="F345" s="172" t="n">
        <v>4254691</v>
      </c>
      <c r="G345" s="172" t="n">
        <v>0.3996</v>
      </c>
      <c r="H345" s="172" t="n">
        <v>3.9956</v>
      </c>
      <c r="I345" s="172" t="n">
        <v>0</v>
      </c>
      <c r="J345" t="n">
        <v>0</v>
      </c>
      <c r="K345" s="172" t="n">
        <v>7</v>
      </c>
      <c r="L345" t="n">
        <v>1.6452</v>
      </c>
      <c r="M345" s="172" t="n">
        <v>4</v>
      </c>
      <c r="N345" t="n">
        <v>0.9401</v>
      </c>
      <c r="O345" s="172" t="n">
        <v>2</v>
      </c>
      <c r="P345" t="n">
        <v>0.4701</v>
      </c>
      <c r="Q345" s="172" t="n">
        <v>17</v>
      </c>
      <c r="R345" s="172" t="n">
        <v>0</v>
      </c>
      <c r="S345" s="172" t="inlineStr">
        <is>
          <t>Census PEP Vintage 2025</t>
        </is>
      </c>
      <c r="T345" s="172" t="inlineStr">
        <is>
          <t>https://www2.census.gov/programs-surveys/popest/datasets/2020-2025/state/totals/NST-EST2025-ALLDATA.csv</t>
        </is>
      </c>
    </row>
    <row r="346">
      <c r="A346" s="172" t="n">
        <v>2021</v>
      </c>
      <c r="B346" t="inlineStr">
        <is>
          <t>PA</t>
        </is>
      </c>
      <c r="C346" t="inlineStr">
        <is>
          <t>42</t>
        </is>
      </c>
      <c r="D346" t="inlineStr">
        <is>
          <t>Pennsylvania</t>
        </is>
      </c>
      <c r="E346" s="172" t="n">
        <v>24</v>
      </c>
      <c r="F346" s="172" t="n">
        <v>13016628</v>
      </c>
      <c r="G346" s="172" t="n">
        <v>0.1844</v>
      </c>
      <c r="H346" s="172" t="n">
        <v>1.8438</v>
      </c>
      <c r="I346" s="172" t="n">
        <v>2</v>
      </c>
      <c r="J346" t="n">
        <v>0.1536</v>
      </c>
      <c r="K346" s="172" t="n">
        <v>10</v>
      </c>
      <c r="L346" t="n">
        <v>0.7682</v>
      </c>
      <c r="M346" s="172" t="n">
        <v>5</v>
      </c>
      <c r="N346" t="n">
        <v>0.3841</v>
      </c>
      <c r="O346" s="172" t="n">
        <v>1</v>
      </c>
      <c r="P346" t="n">
        <v>0.07679999999999999</v>
      </c>
      <c r="Q346" s="172" t="n">
        <v>21</v>
      </c>
      <c r="R346" s="172" t="n">
        <v>3</v>
      </c>
      <c r="S346" s="172" t="inlineStr">
        <is>
          <t>Census PEP Vintage 2025</t>
        </is>
      </c>
      <c r="T346" s="172" t="inlineStr">
        <is>
          <t>https://www2.census.gov/programs-surveys/popest/datasets/2020-2025/state/totals/NST-EST2025-ALLDATA.csv</t>
        </is>
      </c>
    </row>
    <row r="347">
      <c r="A347" s="172" t="n">
        <v>2021</v>
      </c>
      <c r="B347" t="inlineStr">
        <is>
          <t>RI</t>
        </is>
      </c>
      <c r="C347" t="inlineStr">
        <is>
          <t>44</t>
        </is>
      </c>
      <c r="D347" t="inlineStr">
        <is>
          <t>Rhode Island</t>
        </is>
      </c>
      <c r="E347" s="172" t="n">
        <v>1</v>
      </c>
      <c r="F347" s="172" t="n">
        <v>1097381</v>
      </c>
      <c r="G347" s="172" t="n">
        <v>0.0911</v>
      </c>
      <c r="H347" s="172" t="n">
        <v>0.9113</v>
      </c>
      <c r="I347" s="172" t="n">
        <v>0</v>
      </c>
      <c r="J347" t="n">
        <v>0</v>
      </c>
      <c r="K347" s="172" t="n">
        <v>1</v>
      </c>
      <c r="L347" t="n">
        <v>0.9113</v>
      </c>
      <c r="M347" s="172" t="n">
        <v>1</v>
      </c>
      <c r="N347" t="n">
        <v>0.9113</v>
      </c>
      <c r="O347" s="172" t="n">
        <v>0</v>
      </c>
      <c r="P347" t="n">
        <v>0</v>
      </c>
      <c r="Q347" s="172" t="n">
        <v>1</v>
      </c>
      <c r="R347" s="172" t="n">
        <v>0</v>
      </c>
      <c r="S347" s="172" t="inlineStr">
        <is>
          <t>Census PEP Vintage 2025</t>
        </is>
      </c>
      <c r="T347" s="172" t="inlineStr">
        <is>
          <t>https://www2.census.gov/programs-surveys/popest/datasets/2020-2025/state/totals/NST-EST2025-ALLDATA.csv</t>
        </is>
      </c>
    </row>
    <row r="348">
      <c r="A348" s="172" t="n">
        <v>2021</v>
      </c>
      <c r="B348" t="inlineStr">
        <is>
          <t>SC</t>
        </is>
      </c>
      <c r="C348" t="inlineStr">
        <is>
          <t>45</t>
        </is>
      </c>
      <c r="D348" t="inlineStr">
        <is>
          <t>South Carolina</t>
        </is>
      </c>
      <c r="E348" s="172" t="n">
        <v>16</v>
      </c>
      <c r="F348" s="172" t="n">
        <v>5194346</v>
      </c>
      <c r="G348" s="172" t="n">
        <v>0.308</v>
      </c>
      <c r="H348" s="172" t="n">
        <v>3.0803</v>
      </c>
      <c r="I348" s="172" t="n">
        <v>0</v>
      </c>
      <c r="J348" t="n">
        <v>0</v>
      </c>
      <c r="K348" s="172" t="n">
        <v>11</v>
      </c>
      <c r="L348" t="n">
        <v>2.1177</v>
      </c>
      <c r="M348" s="172" t="n">
        <v>2</v>
      </c>
      <c r="N348" t="n">
        <v>0.385</v>
      </c>
      <c r="O348" s="172" t="n">
        <v>4</v>
      </c>
      <c r="P348" t="n">
        <v>0.7701</v>
      </c>
      <c r="Q348" s="172" t="n">
        <v>15</v>
      </c>
      <c r="R348" s="172" t="n">
        <v>1</v>
      </c>
      <c r="S348" s="172" t="inlineStr">
        <is>
          <t>Census PEP Vintage 2025</t>
        </is>
      </c>
      <c r="T348" s="172" t="inlineStr">
        <is>
          <t>https://www2.census.gov/programs-surveys/popest/datasets/2020-2025/state/totals/NST-EST2025-ALLDATA.csv</t>
        </is>
      </c>
    </row>
    <row r="349">
      <c r="A349" s="172" t="n">
        <v>2021</v>
      </c>
      <c r="B349" t="inlineStr">
        <is>
          <t>SD</t>
        </is>
      </c>
      <c r="C349" t="inlineStr">
        <is>
          <t>46</t>
        </is>
      </c>
      <c r="D349" t="inlineStr">
        <is>
          <t>South Dakota</t>
        </is>
      </c>
      <c r="E349" s="172" t="n">
        <v>3</v>
      </c>
      <c r="F349" s="172" t="n">
        <v>896303</v>
      </c>
      <c r="G349" s="172" t="n">
        <v>0.3347</v>
      </c>
      <c r="H349" s="172" t="n">
        <v>3.3471</v>
      </c>
      <c r="I349" s="172" t="n">
        <v>0</v>
      </c>
      <c r="J349" t="n">
        <v>0</v>
      </c>
      <c r="K349" s="172" t="n">
        <v>1</v>
      </c>
      <c r="L349" t="n">
        <v>1.1157</v>
      </c>
      <c r="M349" s="172" t="n">
        <v>1</v>
      </c>
      <c r="N349" t="n">
        <v>1.1157</v>
      </c>
      <c r="O349" s="172" t="n">
        <v>0</v>
      </c>
      <c r="P349" t="n">
        <v>0</v>
      </c>
      <c r="Q349" s="172" t="n">
        <v>3</v>
      </c>
      <c r="R349" s="172" t="n">
        <v>0</v>
      </c>
      <c r="S349" s="172" t="inlineStr">
        <is>
          <t>Census PEP Vintage 2025</t>
        </is>
      </c>
      <c r="T349" s="172" t="inlineStr">
        <is>
          <t>https://www2.census.gov/programs-surveys/popest/datasets/2020-2025/state/totals/NST-EST2025-ALLDATA.csv</t>
        </is>
      </c>
    </row>
    <row r="350">
      <c r="A350" s="172" t="n">
        <v>2021</v>
      </c>
      <c r="B350" t="inlineStr">
        <is>
          <t>TN</t>
        </is>
      </c>
      <c r="C350" t="inlineStr">
        <is>
          <t>47</t>
        </is>
      </c>
      <c r="D350" t="inlineStr">
        <is>
          <t>Tennessee</t>
        </is>
      </c>
      <c r="E350" s="172" t="n">
        <v>34</v>
      </c>
      <c r="F350" s="172" t="n">
        <v>6966687</v>
      </c>
      <c r="G350" s="172" t="n">
        <v>0.488</v>
      </c>
      <c r="H350" s="172" t="n">
        <v>4.8804</v>
      </c>
      <c r="I350" s="172" t="n">
        <v>1</v>
      </c>
      <c r="J350" t="n">
        <v>0.1435</v>
      </c>
      <c r="K350" s="172" t="n">
        <v>23</v>
      </c>
      <c r="L350" t="n">
        <v>3.3014</v>
      </c>
      <c r="M350" s="172" t="n">
        <v>7</v>
      </c>
      <c r="N350" t="n">
        <v>1.0048</v>
      </c>
      <c r="O350" s="172" t="n">
        <v>7</v>
      </c>
      <c r="P350" t="n">
        <v>1.0048</v>
      </c>
      <c r="Q350" s="172" t="n">
        <v>33</v>
      </c>
      <c r="R350" s="172" t="n">
        <v>1</v>
      </c>
      <c r="S350" s="172" t="inlineStr">
        <is>
          <t>Census PEP Vintage 2025</t>
        </is>
      </c>
      <c r="T350" s="172" t="inlineStr">
        <is>
          <t>https://www2.census.gov/programs-surveys/popest/datasets/2020-2025/state/totals/NST-EST2025-ALLDATA.csv</t>
        </is>
      </c>
    </row>
    <row r="351">
      <c r="A351" s="172" t="n">
        <v>2021</v>
      </c>
      <c r="B351" t="inlineStr">
        <is>
          <t>TX</t>
        </is>
      </c>
      <c r="C351" t="inlineStr">
        <is>
          <t>48</t>
        </is>
      </c>
      <c r="D351" t="inlineStr">
        <is>
          <t>Texas</t>
        </is>
      </c>
      <c r="E351" s="172" t="n">
        <v>96</v>
      </c>
      <c r="F351" s="172" t="n">
        <v>29572672</v>
      </c>
      <c r="G351" s="172" t="n">
        <v>0.3246</v>
      </c>
      <c r="H351" s="172" t="n">
        <v>3.2462</v>
      </c>
      <c r="I351" s="172" t="n">
        <v>4</v>
      </c>
      <c r="J351" t="n">
        <v>0.1353</v>
      </c>
      <c r="K351" s="172" t="n">
        <v>67</v>
      </c>
      <c r="L351" t="n">
        <v>2.2656</v>
      </c>
      <c r="M351" s="172" t="n">
        <v>17</v>
      </c>
      <c r="N351" t="n">
        <v>0.5749</v>
      </c>
      <c r="O351" s="172" t="n">
        <v>29</v>
      </c>
      <c r="P351" t="n">
        <v>0.9806</v>
      </c>
      <c r="Q351" s="172" t="n">
        <v>96</v>
      </c>
      <c r="R351" s="172" t="n">
        <v>0</v>
      </c>
      <c r="S351" s="172" t="inlineStr">
        <is>
          <t>Census PEP Vintage 2025</t>
        </is>
      </c>
      <c r="T351" s="172" t="inlineStr">
        <is>
          <t>https://www2.census.gov/programs-surveys/popest/datasets/2020-2025/state/totals/NST-EST2025-ALLDATA.csv</t>
        </is>
      </c>
    </row>
    <row r="352">
      <c r="A352" s="172" t="n">
        <v>2021</v>
      </c>
      <c r="B352" t="inlineStr">
        <is>
          <t>UT</t>
        </is>
      </c>
      <c r="C352" t="inlineStr">
        <is>
          <t>49</t>
        </is>
      </c>
      <c r="D352" t="inlineStr">
        <is>
          <t>Utah</t>
        </is>
      </c>
      <c r="E352" s="172" t="n">
        <v>12</v>
      </c>
      <c r="F352" s="172" t="n">
        <v>3339874</v>
      </c>
      <c r="G352" s="172" t="n">
        <v>0.3593</v>
      </c>
      <c r="H352" s="172" t="n">
        <v>3.5929</v>
      </c>
      <c r="I352" s="172" t="n">
        <v>0</v>
      </c>
      <c r="J352" t="n">
        <v>0</v>
      </c>
      <c r="K352" s="172" t="n">
        <v>8</v>
      </c>
      <c r="L352" t="n">
        <v>2.3953</v>
      </c>
      <c r="M352" s="172" t="n">
        <v>0</v>
      </c>
      <c r="N352" t="n">
        <v>0</v>
      </c>
      <c r="O352" s="172" t="n">
        <v>4</v>
      </c>
      <c r="P352" t="n">
        <v>1.1976</v>
      </c>
      <c r="Q352" s="172" t="n">
        <v>7</v>
      </c>
      <c r="R352" s="172" t="n">
        <v>5</v>
      </c>
      <c r="S352" s="172" t="inlineStr">
        <is>
          <t>Census PEP Vintage 2025</t>
        </is>
      </c>
      <c r="T352" s="172" t="inlineStr">
        <is>
          <t>https://www2.census.gov/programs-surveys/popest/datasets/2020-2025/state/totals/NST-EST2025-ALLDATA.csv</t>
        </is>
      </c>
    </row>
    <row r="353">
      <c r="A353" s="172" t="n">
        <v>2021</v>
      </c>
      <c r="B353" t="inlineStr">
        <is>
          <t>VA</t>
        </is>
      </c>
      <c r="C353" t="inlineStr">
        <is>
          <t>51</t>
        </is>
      </c>
      <c r="D353" t="inlineStr">
        <is>
          <t>Virginia</t>
        </is>
      </c>
      <c r="E353" s="172" t="n">
        <v>21</v>
      </c>
      <c r="F353" s="172" t="n">
        <v>8660007</v>
      </c>
      <c r="G353" s="172" t="n">
        <v>0.2425</v>
      </c>
      <c r="H353" s="172" t="n">
        <v>2.4249</v>
      </c>
      <c r="I353" s="172" t="n">
        <v>1</v>
      </c>
      <c r="J353" t="n">
        <v>0.1155</v>
      </c>
      <c r="K353" s="172" t="n">
        <v>11</v>
      </c>
      <c r="L353" t="n">
        <v>1.2702</v>
      </c>
      <c r="M353" s="172" t="n">
        <v>5</v>
      </c>
      <c r="N353" t="n">
        <v>0.5774</v>
      </c>
      <c r="O353" s="172" t="n">
        <v>1</v>
      </c>
      <c r="P353" t="n">
        <v>0.1155</v>
      </c>
      <c r="Q353" s="172" t="n">
        <v>20</v>
      </c>
      <c r="R353" s="172" t="n">
        <v>1</v>
      </c>
      <c r="S353" s="172" t="inlineStr">
        <is>
          <t>Census PEP Vintage 2025</t>
        </is>
      </c>
      <c r="T353" s="172" t="inlineStr">
        <is>
          <t>https://www2.census.gov/programs-surveys/popest/datasets/2020-2025/state/totals/NST-EST2025-ALLDATA.csv</t>
        </is>
      </c>
    </row>
    <row r="354">
      <c r="A354" s="172" t="n">
        <v>2021</v>
      </c>
      <c r="B354" t="inlineStr">
        <is>
          <t>VT</t>
        </is>
      </c>
      <c r="C354" t="inlineStr">
        <is>
          <t>50</t>
        </is>
      </c>
      <c r="D354" t="inlineStr">
        <is>
          <t>Vermont</t>
        </is>
      </c>
      <c r="E354" s="172" t="n">
        <v>2</v>
      </c>
      <c r="F354" s="172" t="n">
        <v>647238</v>
      </c>
      <c r="G354" s="172" t="n">
        <v>0.309</v>
      </c>
      <c r="H354" s="172" t="n">
        <v>3.0901</v>
      </c>
      <c r="I354" s="172" t="n">
        <v>1</v>
      </c>
      <c r="J354" t="n">
        <v>1.545</v>
      </c>
      <c r="K354" s="172" t="n">
        <v>0</v>
      </c>
      <c r="L354" t="n">
        <v>0</v>
      </c>
      <c r="M354" s="172" t="n">
        <v>0</v>
      </c>
      <c r="N354" t="n">
        <v>0</v>
      </c>
      <c r="O354" s="172" t="n">
        <v>0</v>
      </c>
      <c r="P354" t="n">
        <v>0</v>
      </c>
      <c r="Q354" s="172" t="n">
        <v>1</v>
      </c>
      <c r="R354" s="172" t="n">
        <v>1</v>
      </c>
      <c r="S354" s="172" t="inlineStr">
        <is>
          <t>Census PEP Vintage 2025</t>
        </is>
      </c>
      <c r="T354" s="172" t="inlineStr">
        <is>
          <t>https://www2.census.gov/programs-surveys/popest/datasets/2020-2025/state/totals/NST-EST2025-ALLDATA.csv</t>
        </is>
      </c>
    </row>
    <row r="355">
      <c r="A355" s="172" t="n">
        <v>2021</v>
      </c>
      <c r="B355" t="inlineStr">
        <is>
          <t>WA</t>
        </is>
      </c>
      <c r="C355" t="inlineStr">
        <is>
          <t>53</t>
        </is>
      </c>
      <c r="D355" t="inlineStr">
        <is>
          <t>Washington</t>
        </is>
      </c>
      <c r="E355" s="172" t="n">
        <v>13</v>
      </c>
      <c r="F355" s="172" t="n">
        <v>7744316</v>
      </c>
      <c r="G355" s="172" t="n">
        <v>0.1679</v>
      </c>
      <c r="H355" s="172" t="n">
        <v>1.6787</v>
      </c>
      <c r="I355" s="172" t="n">
        <v>1</v>
      </c>
      <c r="J355" t="n">
        <v>0.1291</v>
      </c>
      <c r="K355" s="172" t="n">
        <v>8</v>
      </c>
      <c r="L355" t="n">
        <v>1.033</v>
      </c>
      <c r="M355" s="172" t="n">
        <v>1</v>
      </c>
      <c r="N355" t="n">
        <v>0.1291</v>
      </c>
      <c r="O355" s="172" t="n">
        <v>3</v>
      </c>
      <c r="P355" t="n">
        <v>0.3874</v>
      </c>
      <c r="Q355" s="172" t="n">
        <v>9</v>
      </c>
      <c r="R355" s="172" t="n">
        <v>4</v>
      </c>
      <c r="S355" s="172" t="inlineStr">
        <is>
          <t>Census PEP Vintage 2025</t>
        </is>
      </c>
      <c r="T355" s="172" t="inlineStr">
        <is>
          <t>https://www2.census.gov/programs-surveys/popest/datasets/2020-2025/state/totals/NST-EST2025-ALLDATA.csv</t>
        </is>
      </c>
    </row>
    <row r="356">
      <c r="A356" s="172" t="n">
        <v>2021</v>
      </c>
      <c r="B356" t="inlineStr">
        <is>
          <t>WI</t>
        </is>
      </c>
      <c r="C356" t="inlineStr">
        <is>
          <t>55</t>
        </is>
      </c>
      <c r="D356" t="inlineStr">
        <is>
          <t>Wisconsin</t>
        </is>
      </c>
      <c r="E356" s="172" t="n">
        <v>11</v>
      </c>
      <c r="F356" s="172" t="n">
        <v>5882128</v>
      </c>
      <c r="G356" s="172" t="n">
        <v>0.187</v>
      </c>
      <c r="H356" s="172" t="n">
        <v>1.8701</v>
      </c>
      <c r="I356" s="172" t="n">
        <v>0</v>
      </c>
      <c r="J356" t="n">
        <v>0</v>
      </c>
      <c r="K356" s="172" t="n">
        <v>8</v>
      </c>
      <c r="L356" t="n">
        <v>1.3601</v>
      </c>
      <c r="M356" s="172" t="n">
        <v>2</v>
      </c>
      <c r="N356" t="n">
        <v>0.34</v>
      </c>
      <c r="O356" s="172" t="n">
        <v>3</v>
      </c>
      <c r="P356" t="n">
        <v>0.51</v>
      </c>
      <c r="Q356" s="172" t="n">
        <v>11</v>
      </c>
      <c r="R356" s="172" t="n">
        <v>0</v>
      </c>
      <c r="S356" s="172" t="inlineStr">
        <is>
          <t>Census PEP Vintage 2025</t>
        </is>
      </c>
      <c r="T356" s="172" t="inlineStr">
        <is>
          <t>https://www2.census.gov/programs-surveys/popest/datasets/2020-2025/state/totals/NST-EST2025-ALLDATA.csv</t>
        </is>
      </c>
    </row>
    <row r="357">
      <c r="A357" s="172" t="n">
        <v>2021</v>
      </c>
      <c r="B357" t="inlineStr">
        <is>
          <t>WV</t>
        </is>
      </c>
      <c r="C357" t="inlineStr">
        <is>
          <t>54</t>
        </is>
      </c>
      <c r="D357" t="inlineStr">
        <is>
          <t>West Virginia</t>
        </is>
      </c>
      <c r="E357" s="172" t="n">
        <v>6</v>
      </c>
      <c r="F357" s="172" t="n">
        <v>1785921</v>
      </c>
      <c r="G357" s="172" t="n">
        <v>0.336</v>
      </c>
      <c r="H357" s="172" t="n">
        <v>3.3596</v>
      </c>
      <c r="I357" s="172" t="n">
        <v>0</v>
      </c>
      <c r="J357" t="n">
        <v>0</v>
      </c>
      <c r="K357" s="172" t="n">
        <v>4</v>
      </c>
      <c r="L357" t="n">
        <v>2.2397</v>
      </c>
      <c r="M357" s="172" t="n">
        <v>0</v>
      </c>
      <c r="N357" t="n">
        <v>0</v>
      </c>
      <c r="O357" s="172" t="n">
        <v>0</v>
      </c>
      <c r="P357" t="n">
        <v>0</v>
      </c>
      <c r="Q357" s="172" t="n">
        <v>3</v>
      </c>
      <c r="R357" s="172" t="n">
        <v>3</v>
      </c>
      <c r="S357" s="172" t="inlineStr">
        <is>
          <t>Census PEP Vintage 2025</t>
        </is>
      </c>
      <c r="T357" s="172" t="inlineStr">
        <is>
          <t>https://www2.census.gov/programs-surveys/popest/datasets/2020-2025/state/totals/NST-EST2025-ALLDATA.csv</t>
        </is>
      </c>
    </row>
    <row r="358">
      <c r="A358" s="172" t="n">
        <v>2021</v>
      </c>
      <c r="B358" t="inlineStr">
        <is>
          <t>WY</t>
        </is>
      </c>
      <c r="C358" t="inlineStr">
        <is>
          <t>56</t>
        </is>
      </c>
      <c r="D358" t="inlineStr">
        <is>
          <t>Wyoming</t>
        </is>
      </c>
      <c r="E358" s="172" t="n">
        <v>3</v>
      </c>
      <c r="F358" s="172" t="n">
        <v>579662</v>
      </c>
      <c r="G358" s="172" t="n">
        <v>0.5175</v>
      </c>
      <c r="H358" s="172" t="n">
        <v>5.1754</v>
      </c>
      <c r="I358" s="172" t="n">
        <v>0</v>
      </c>
      <c r="J358" t="n">
        <v>0</v>
      </c>
      <c r="K358" s="172" t="n">
        <v>2</v>
      </c>
      <c r="L358" t="n">
        <v>3.4503</v>
      </c>
      <c r="M358" s="172" t="n">
        <v>1</v>
      </c>
      <c r="N358" t="n">
        <v>1.7251</v>
      </c>
      <c r="O358" s="172" t="n">
        <v>0</v>
      </c>
      <c r="P358" t="n">
        <v>0</v>
      </c>
      <c r="Q358" s="172" t="n">
        <v>3</v>
      </c>
      <c r="R358" s="172" t="n">
        <v>0</v>
      </c>
      <c r="S358" s="172" t="inlineStr">
        <is>
          <t>Census PEP Vintage 2025</t>
        </is>
      </c>
      <c r="T358" s="172" t="inlineStr">
        <is>
          <t>https://www2.census.gov/programs-surveys/popest/datasets/2020-2025/state/totals/NST-EST2025-ALLDATA.csv</t>
        </is>
      </c>
    </row>
    <row r="359">
      <c r="A359" s="172" t="n">
        <v>2022</v>
      </c>
      <c r="B359" t="inlineStr">
        <is>
          <t>AK</t>
        </is>
      </c>
      <c r="C359" t="inlineStr">
        <is>
          <t>02</t>
        </is>
      </c>
      <c r="D359" t="inlineStr">
        <is>
          <t>Alaska</t>
        </is>
      </c>
      <c r="E359" s="172" t="n">
        <v>5</v>
      </c>
      <c r="F359" s="172" t="n">
        <v>733659</v>
      </c>
      <c r="G359" s="172" t="n">
        <v>0.6815</v>
      </c>
      <c r="H359" s="172" t="n">
        <v>6.8152</v>
      </c>
      <c r="I359" s="172" t="n">
        <v>0</v>
      </c>
      <c r="J359" t="n">
        <v>0</v>
      </c>
      <c r="K359" s="172" t="n">
        <v>5</v>
      </c>
      <c r="L359" t="n">
        <v>6.8152</v>
      </c>
      <c r="M359" s="172" t="n">
        <v>0</v>
      </c>
      <c r="N359" t="n">
        <v>0</v>
      </c>
      <c r="O359" s="172" t="n">
        <v>0</v>
      </c>
      <c r="P359" t="n">
        <v>0</v>
      </c>
      <c r="Q359" s="172" t="n">
        <v>1</v>
      </c>
      <c r="R359" s="172" t="n">
        <v>4</v>
      </c>
      <c r="S359" s="172" t="inlineStr">
        <is>
          <t>Census PEP Vintage 2025</t>
        </is>
      </c>
      <c r="T359" s="172" t="inlineStr">
        <is>
          <t>https://www2.census.gov/programs-surveys/popest/datasets/2020-2025/state/totals/NST-EST2025-ALLDATA.csv</t>
        </is>
      </c>
    </row>
    <row r="360">
      <c r="A360" s="172" t="n">
        <v>2022</v>
      </c>
      <c r="B360" t="inlineStr">
        <is>
          <t>AL</t>
        </is>
      </c>
      <c r="C360" t="inlineStr">
        <is>
          <t>01</t>
        </is>
      </c>
      <c r="D360" t="inlineStr">
        <is>
          <t>Alabama</t>
        </is>
      </c>
      <c r="E360" s="172" t="n">
        <v>20</v>
      </c>
      <c r="F360" s="172" t="n">
        <v>5076868</v>
      </c>
      <c r="G360" s="172" t="n">
        <v>0.3939</v>
      </c>
      <c r="H360" s="172" t="n">
        <v>3.9394</v>
      </c>
      <c r="I360" s="172" t="n">
        <v>0</v>
      </c>
      <c r="J360" t="n">
        <v>0</v>
      </c>
      <c r="K360" s="172" t="n">
        <v>15</v>
      </c>
      <c r="L360" t="n">
        <v>2.9546</v>
      </c>
      <c r="M360" s="172" t="n">
        <v>1</v>
      </c>
      <c r="N360" t="n">
        <v>0.197</v>
      </c>
      <c r="O360" s="172" t="n">
        <v>0</v>
      </c>
      <c r="P360" t="n">
        <v>0</v>
      </c>
      <c r="Q360" s="172" t="n">
        <v>17</v>
      </c>
      <c r="R360" s="172" t="n">
        <v>3</v>
      </c>
      <c r="S360" s="172" t="inlineStr">
        <is>
          <t>Census PEP Vintage 2025</t>
        </is>
      </c>
      <c r="T360" s="172" t="inlineStr">
        <is>
          <t>https://www2.census.gov/programs-surveys/popest/datasets/2020-2025/state/totals/NST-EST2025-ALLDATA.csv</t>
        </is>
      </c>
    </row>
    <row r="361">
      <c r="A361" s="172" t="n">
        <v>2022</v>
      </c>
      <c r="B361" t="inlineStr">
        <is>
          <t>AR</t>
        </is>
      </c>
      <c r="C361" t="inlineStr">
        <is>
          <t>05</t>
        </is>
      </c>
      <c r="D361" t="inlineStr">
        <is>
          <t>Arkansas</t>
        </is>
      </c>
      <c r="E361" s="172" t="n">
        <v>16</v>
      </c>
      <c r="F361" s="172" t="n">
        <v>3047429</v>
      </c>
      <c r="G361" s="172" t="n">
        <v>0.525</v>
      </c>
      <c r="H361" s="172" t="n">
        <v>5.2503</v>
      </c>
      <c r="I361" s="172" t="n">
        <v>0</v>
      </c>
      <c r="J361" t="n">
        <v>0</v>
      </c>
      <c r="K361" s="172" t="n">
        <v>12</v>
      </c>
      <c r="L361" t="n">
        <v>3.9377</v>
      </c>
      <c r="M361" s="172" t="n">
        <v>2</v>
      </c>
      <c r="N361" t="n">
        <v>0.6563</v>
      </c>
      <c r="O361" s="172" t="n">
        <v>1</v>
      </c>
      <c r="P361" t="n">
        <v>0.3281</v>
      </c>
      <c r="Q361" s="172" t="n">
        <v>11</v>
      </c>
      <c r="R361" s="172" t="n">
        <v>5</v>
      </c>
      <c r="S361" s="172" t="inlineStr">
        <is>
          <t>Census PEP Vintage 2025</t>
        </is>
      </c>
      <c r="T361" s="172" t="inlineStr">
        <is>
          <t>https://www2.census.gov/programs-surveys/popest/datasets/2020-2025/state/totals/NST-EST2025-ALLDATA.csv</t>
        </is>
      </c>
    </row>
    <row r="362">
      <c r="A362" s="172" t="n">
        <v>2022</v>
      </c>
      <c r="B362" t="inlineStr">
        <is>
          <t>AZ</t>
        </is>
      </c>
      <c r="C362" t="inlineStr">
        <is>
          <t>04</t>
        </is>
      </c>
      <c r="D362" t="inlineStr">
        <is>
          <t>Arizona</t>
        </is>
      </c>
      <c r="E362" s="172" t="n">
        <v>52</v>
      </c>
      <c r="F362" s="172" t="n">
        <v>7370065</v>
      </c>
      <c r="G362" s="172" t="n">
        <v>0.7056</v>
      </c>
      <c r="H362" s="172" t="n">
        <v>7.0556</v>
      </c>
      <c r="I362" s="172" t="n">
        <v>3</v>
      </c>
      <c r="J362" t="n">
        <v>0.4071</v>
      </c>
      <c r="K362" s="172" t="n">
        <v>27</v>
      </c>
      <c r="L362" t="n">
        <v>3.6635</v>
      </c>
      <c r="M362" s="172" t="n">
        <v>6</v>
      </c>
      <c r="N362" t="n">
        <v>0.8141</v>
      </c>
      <c r="O362" s="172" t="n">
        <v>11</v>
      </c>
      <c r="P362" t="n">
        <v>1.4925</v>
      </c>
      <c r="Q362" s="172" t="n">
        <v>39</v>
      </c>
      <c r="R362" s="172" t="n">
        <v>13</v>
      </c>
      <c r="S362" s="172" t="inlineStr">
        <is>
          <t>Census PEP Vintage 2025</t>
        </is>
      </c>
      <c r="T362" s="172" t="inlineStr">
        <is>
          <t>https://www2.census.gov/programs-surveys/popest/datasets/2020-2025/state/totals/NST-EST2025-ALLDATA.csv</t>
        </is>
      </c>
    </row>
    <row r="363">
      <c r="A363" s="172" t="n">
        <v>2022</v>
      </c>
      <c r="B363" t="inlineStr">
        <is>
          <t>CA</t>
        </is>
      </c>
      <c r="C363" t="inlineStr">
        <is>
          <t>06</t>
        </is>
      </c>
      <c r="D363" t="inlineStr">
        <is>
          <t>California</t>
        </is>
      </c>
      <c r="E363" s="172" t="n">
        <v>129</v>
      </c>
      <c r="F363" s="172" t="n">
        <v>39125347</v>
      </c>
      <c r="G363" s="172" t="n">
        <v>0.3297</v>
      </c>
      <c r="H363" s="172" t="n">
        <v>3.2971</v>
      </c>
      <c r="I363" s="172" t="n">
        <v>8</v>
      </c>
      <c r="J363" t="n">
        <v>0.2045</v>
      </c>
      <c r="K363" s="172" t="n">
        <v>59</v>
      </c>
      <c r="L363" t="n">
        <v>1.508</v>
      </c>
      <c r="M363" s="172" t="n">
        <v>14</v>
      </c>
      <c r="N363" t="n">
        <v>0.3578</v>
      </c>
      <c r="O363" s="172" t="n">
        <v>33</v>
      </c>
      <c r="P363" t="n">
        <v>0.8434</v>
      </c>
      <c r="Q363" s="172" t="n">
        <v>87</v>
      </c>
      <c r="R363" s="172" t="n">
        <v>42</v>
      </c>
      <c r="S363" s="172" t="inlineStr">
        <is>
          <t>Census PEP Vintage 2025</t>
        </is>
      </c>
      <c r="T363" s="172" t="inlineStr">
        <is>
          <t>https://www2.census.gov/programs-surveys/popest/datasets/2020-2025/state/totals/NST-EST2025-ALLDATA.csv</t>
        </is>
      </c>
    </row>
    <row r="364">
      <c r="A364" s="172" t="n">
        <v>2022</v>
      </c>
      <c r="B364" t="inlineStr">
        <is>
          <t>CO</t>
        </is>
      </c>
      <c r="C364" t="inlineStr">
        <is>
          <t>08</t>
        </is>
      </c>
      <c r="D364" t="inlineStr">
        <is>
          <t>Colorado</t>
        </is>
      </c>
      <c r="E364" s="172" t="n">
        <v>40</v>
      </c>
      <c r="F364" s="172" t="n">
        <v>5853355</v>
      </c>
      <c r="G364" s="172" t="n">
        <v>0.6834</v>
      </c>
      <c r="H364" s="172" t="n">
        <v>6.8337</v>
      </c>
      <c r="I364" s="172" t="n">
        <v>2</v>
      </c>
      <c r="J364" t="n">
        <v>0.3417</v>
      </c>
      <c r="K364" s="172" t="n">
        <v>23</v>
      </c>
      <c r="L364" t="n">
        <v>3.9294</v>
      </c>
      <c r="M364" s="172" t="n">
        <v>6</v>
      </c>
      <c r="N364" t="n">
        <v>1.0251</v>
      </c>
      <c r="O364" s="172" t="n">
        <v>9</v>
      </c>
      <c r="P364" t="n">
        <v>1.5376</v>
      </c>
      <c r="Q364" s="172" t="n">
        <v>32</v>
      </c>
      <c r="R364" s="172" t="n">
        <v>8</v>
      </c>
      <c r="S364" s="172" t="inlineStr">
        <is>
          <t>Census PEP Vintage 2025</t>
        </is>
      </c>
      <c r="T364" s="172" t="inlineStr">
        <is>
          <t>https://www2.census.gov/programs-surveys/popest/datasets/2020-2025/state/totals/NST-EST2025-ALLDATA.csv</t>
        </is>
      </c>
    </row>
    <row r="365">
      <c r="A365" s="172" t="n">
        <v>2022</v>
      </c>
      <c r="B365" t="inlineStr">
        <is>
          <t>CT</t>
        </is>
      </c>
      <c r="C365" t="inlineStr">
        <is>
          <t>09</t>
        </is>
      </c>
      <c r="D365" t="inlineStr">
        <is>
          <t>Connecticut</t>
        </is>
      </c>
      <c r="E365" s="172" t="n">
        <v>1</v>
      </c>
      <c r="F365" s="172" t="n">
        <v>3618707</v>
      </c>
      <c r="G365" s="172" t="n">
        <v>0.0276</v>
      </c>
      <c r="H365" s="172" t="n">
        <v>0.2763</v>
      </c>
      <c r="I365" s="172" t="n">
        <v>0</v>
      </c>
      <c r="J365" t="n">
        <v>0</v>
      </c>
      <c r="K365" s="172" t="n">
        <v>1</v>
      </c>
      <c r="L365" t="n">
        <v>0.2763</v>
      </c>
      <c r="M365" s="172" t="n">
        <v>0</v>
      </c>
      <c r="N365" t="n">
        <v>0</v>
      </c>
      <c r="O365" s="172" t="n">
        <v>0</v>
      </c>
      <c r="P365" t="n">
        <v>0</v>
      </c>
      <c r="Q365" s="172" t="n">
        <v>1</v>
      </c>
      <c r="R365" s="172" t="n">
        <v>0</v>
      </c>
      <c r="S365" s="172" t="inlineStr">
        <is>
          <t>Census PEP Vintage 2025</t>
        </is>
      </c>
      <c r="T365" s="172" t="inlineStr">
        <is>
          <t>https://www2.census.gov/programs-surveys/popest/datasets/2020-2025/state/totals/NST-EST2025-ALLDATA.csv</t>
        </is>
      </c>
    </row>
    <row r="366">
      <c r="A366" s="172" t="n">
        <v>2022</v>
      </c>
      <c r="B366" t="inlineStr">
        <is>
          <t>DC</t>
        </is>
      </c>
      <c r="C366" t="inlineStr">
        <is>
          <t>11</t>
        </is>
      </c>
      <c r="D366" t="inlineStr">
        <is>
          <t>District of Columbia</t>
        </is>
      </c>
      <c r="E366" s="172" t="n">
        <v>3</v>
      </c>
      <c r="F366" s="172" t="n">
        <v>674501</v>
      </c>
      <c r="G366" s="172" t="n">
        <v>0.4448</v>
      </c>
      <c r="H366" s="172" t="n">
        <v>4.4477</v>
      </c>
      <c r="I366" s="172" t="n">
        <v>0</v>
      </c>
      <c r="J366" t="n">
        <v>0</v>
      </c>
      <c r="K366" s="172" t="n">
        <v>2</v>
      </c>
      <c r="L366" t="n">
        <v>2.9652</v>
      </c>
      <c r="M366" s="172" t="n">
        <v>1</v>
      </c>
      <c r="N366" t="n">
        <v>1.4826</v>
      </c>
      <c r="O366" s="172" t="n">
        <v>1</v>
      </c>
      <c r="P366" t="n">
        <v>1.4826</v>
      </c>
      <c r="Q366" s="172" t="n">
        <v>3</v>
      </c>
      <c r="R366" s="172" t="n">
        <v>0</v>
      </c>
      <c r="S366" s="172" t="inlineStr">
        <is>
          <t>Census PEP Vintage 2025</t>
        </is>
      </c>
      <c r="T366" s="172" t="inlineStr">
        <is>
          <t>https://www2.census.gov/programs-surveys/popest/datasets/2020-2025/state/totals/NST-EST2025-ALLDATA.csv</t>
        </is>
      </c>
    </row>
    <row r="367">
      <c r="A367" s="172" t="n">
        <v>2022</v>
      </c>
      <c r="B367" t="inlineStr">
        <is>
          <t>DE</t>
        </is>
      </c>
      <c r="C367" t="inlineStr">
        <is>
          <t>10</t>
        </is>
      </c>
      <c r="D367" t="inlineStr">
        <is>
          <t>Delaware</t>
        </is>
      </c>
      <c r="E367" s="172" t="n">
        <v>2</v>
      </c>
      <c r="F367" s="172" t="n">
        <v>1020279</v>
      </c>
      <c r="G367" s="172" t="n">
        <v>0.196</v>
      </c>
      <c r="H367" s="172" t="n">
        <v>1.9602</v>
      </c>
      <c r="I367" s="172" t="n">
        <v>0</v>
      </c>
      <c r="J367" t="n">
        <v>0</v>
      </c>
      <c r="K367" s="172" t="n">
        <v>1</v>
      </c>
      <c r="L367" t="n">
        <v>0.9801</v>
      </c>
      <c r="M367" s="172" t="n">
        <v>0</v>
      </c>
      <c r="N367" t="n">
        <v>0</v>
      </c>
      <c r="O367" s="172" t="n">
        <v>0</v>
      </c>
      <c r="P367" t="n">
        <v>0</v>
      </c>
      <c r="Q367" s="172" t="n">
        <v>2</v>
      </c>
      <c r="R367" s="172" t="n">
        <v>0</v>
      </c>
      <c r="S367" s="172" t="inlineStr">
        <is>
          <t>Census PEP Vintage 2025</t>
        </is>
      </c>
      <c r="T367" s="172" t="inlineStr">
        <is>
          <t>https://www2.census.gov/programs-surveys/popest/datasets/2020-2025/state/totals/NST-EST2025-ALLDATA.csv</t>
        </is>
      </c>
    </row>
    <row r="368">
      <c r="A368" s="172" t="n">
        <v>2022</v>
      </c>
      <c r="B368" t="inlineStr">
        <is>
          <t>FL</t>
        </is>
      </c>
      <c r="C368" t="inlineStr">
        <is>
          <t>12</t>
        </is>
      </c>
      <c r="D368" t="inlineStr">
        <is>
          <t>Florida</t>
        </is>
      </c>
      <c r="E368" s="172" t="n">
        <v>62</v>
      </c>
      <c r="F368" s="172" t="n">
        <v>22413989</v>
      </c>
      <c r="G368" s="172" t="n">
        <v>0.2766</v>
      </c>
      <c r="H368" s="172" t="n">
        <v>2.7661</v>
      </c>
      <c r="I368" s="172" t="n">
        <v>5</v>
      </c>
      <c r="J368" t="n">
        <v>0.2231</v>
      </c>
      <c r="K368" s="172" t="n">
        <v>39</v>
      </c>
      <c r="L368" t="n">
        <v>1.74</v>
      </c>
      <c r="M368" s="172" t="n">
        <v>11</v>
      </c>
      <c r="N368" t="n">
        <v>0.4908</v>
      </c>
      <c r="O368" s="172" t="n">
        <v>15</v>
      </c>
      <c r="P368" t="n">
        <v>0.6692</v>
      </c>
      <c r="Q368" s="172" t="n">
        <v>50</v>
      </c>
      <c r="R368" s="172" t="n">
        <v>12</v>
      </c>
      <c r="S368" s="172" t="inlineStr">
        <is>
          <t>Census PEP Vintage 2025</t>
        </is>
      </c>
      <c r="T368" s="172" t="inlineStr">
        <is>
          <t>https://www2.census.gov/programs-surveys/popest/datasets/2020-2025/state/totals/NST-EST2025-ALLDATA.csv</t>
        </is>
      </c>
    </row>
    <row r="369">
      <c r="A369" s="172" t="n">
        <v>2022</v>
      </c>
      <c r="B369" t="inlineStr">
        <is>
          <t>GA</t>
        </is>
      </c>
      <c r="C369" t="inlineStr">
        <is>
          <t>13</t>
        </is>
      </c>
      <c r="D369" t="inlineStr">
        <is>
          <t>Georgia</t>
        </is>
      </c>
      <c r="E369" s="172" t="n">
        <v>49</v>
      </c>
      <c r="F369" s="172" t="n">
        <v>10929992</v>
      </c>
      <c r="G369" s="172" t="n">
        <v>0.4483</v>
      </c>
      <c r="H369" s="172" t="n">
        <v>4.4831</v>
      </c>
      <c r="I369" s="172" t="n">
        <v>2</v>
      </c>
      <c r="J369" t="n">
        <v>0.183</v>
      </c>
      <c r="K369" s="172" t="n">
        <v>29</v>
      </c>
      <c r="L369" t="n">
        <v>2.6532</v>
      </c>
      <c r="M369" s="172" t="n">
        <v>6</v>
      </c>
      <c r="N369" t="n">
        <v>0.5489000000000001</v>
      </c>
      <c r="O369" s="172" t="n">
        <v>2</v>
      </c>
      <c r="P369" t="n">
        <v>0.183</v>
      </c>
      <c r="Q369" s="172" t="n">
        <v>43</v>
      </c>
      <c r="R369" s="172" t="n">
        <v>6</v>
      </c>
      <c r="S369" s="172" t="inlineStr">
        <is>
          <t>Census PEP Vintage 2025</t>
        </is>
      </c>
      <c r="T369" s="172" t="inlineStr">
        <is>
          <t>https://www2.census.gov/programs-surveys/popest/datasets/2020-2025/state/totals/NST-EST2025-ALLDATA.csv</t>
        </is>
      </c>
    </row>
    <row r="370">
      <c r="A370" s="172" t="n">
        <v>2022</v>
      </c>
      <c r="B370" t="inlineStr">
        <is>
          <t>HI</t>
        </is>
      </c>
      <c r="C370" t="inlineStr">
        <is>
          <t>15</t>
        </is>
      </c>
      <c r="D370" t="inlineStr">
        <is>
          <t>Hawaii</t>
        </is>
      </c>
      <c r="E370" s="172" t="n">
        <v>2</v>
      </c>
      <c r="F370" s="172" t="n">
        <v>1437812</v>
      </c>
      <c r="G370" s="172" t="n">
        <v>0.1391</v>
      </c>
      <c r="H370" s="172" t="n">
        <v>1.391</v>
      </c>
      <c r="I370" s="172" t="n">
        <v>0</v>
      </c>
      <c r="J370" t="n">
        <v>0</v>
      </c>
      <c r="K370" s="172" t="n">
        <v>1</v>
      </c>
      <c r="L370" t="n">
        <v>0.6955</v>
      </c>
      <c r="M370" s="172" t="n">
        <v>1</v>
      </c>
      <c r="N370" t="n">
        <v>0.6955</v>
      </c>
      <c r="O370" s="172" t="n">
        <v>1</v>
      </c>
      <c r="P370" t="n">
        <v>0.6955</v>
      </c>
      <c r="Q370" s="172" t="n">
        <v>0</v>
      </c>
      <c r="R370" s="172" t="n">
        <v>2</v>
      </c>
      <c r="S370" s="172" t="inlineStr">
        <is>
          <t>Census PEP Vintage 2025</t>
        </is>
      </c>
      <c r="T370" s="172" t="inlineStr">
        <is>
          <t>https://www2.census.gov/programs-surveys/popest/datasets/2020-2025/state/totals/NST-EST2025-ALLDATA.csv</t>
        </is>
      </c>
    </row>
    <row r="371">
      <c r="A371" s="172" t="n">
        <v>2022</v>
      </c>
      <c r="B371" t="inlineStr">
        <is>
          <t>IA</t>
        </is>
      </c>
      <c r="C371" t="inlineStr">
        <is>
          <t>19</t>
        </is>
      </c>
      <c r="D371" t="inlineStr">
        <is>
          <t>Iowa</t>
        </is>
      </c>
      <c r="E371" s="172" t="n">
        <v>6</v>
      </c>
      <c r="F371" s="172" t="n">
        <v>3201890</v>
      </c>
      <c r="G371" s="172" t="n">
        <v>0.1874</v>
      </c>
      <c r="H371" s="172" t="n">
        <v>1.8739</v>
      </c>
      <c r="I371" s="172" t="n">
        <v>0</v>
      </c>
      <c r="J371" t="n">
        <v>0</v>
      </c>
      <c r="K371" s="172" t="n">
        <v>5</v>
      </c>
      <c r="L371" t="n">
        <v>1.5616</v>
      </c>
      <c r="M371" s="172" t="n">
        <v>0</v>
      </c>
      <c r="N371" t="n">
        <v>0</v>
      </c>
      <c r="O371" s="172" t="n">
        <v>2</v>
      </c>
      <c r="P371" t="n">
        <v>0.6246</v>
      </c>
      <c r="Q371" s="172" t="n">
        <v>5</v>
      </c>
      <c r="R371" s="172" t="n">
        <v>1</v>
      </c>
      <c r="S371" s="172" t="inlineStr">
        <is>
          <t>Census PEP Vintage 2025</t>
        </is>
      </c>
      <c r="T371" s="172" t="inlineStr">
        <is>
          <t>https://www2.census.gov/programs-surveys/popest/datasets/2020-2025/state/totals/NST-EST2025-ALLDATA.csv</t>
        </is>
      </c>
    </row>
    <row r="372">
      <c r="A372" s="172" t="n">
        <v>2022</v>
      </c>
      <c r="B372" t="inlineStr">
        <is>
          <t>ID</t>
        </is>
      </c>
      <c r="C372" t="inlineStr">
        <is>
          <t>16</t>
        </is>
      </c>
      <c r="D372" t="inlineStr">
        <is>
          <t>Idaho</t>
        </is>
      </c>
      <c r="E372" s="172" t="n">
        <v>7</v>
      </c>
      <c r="F372" s="172" t="n">
        <v>1942951</v>
      </c>
      <c r="G372" s="172" t="n">
        <v>0.3603</v>
      </c>
      <c r="H372" s="172" t="n">
        <v>3.6028</v>
      </c>
      <c r="I372" s="172" t="n">
        <v>0</v>
      </c>
      <c r="J372" t="n">
        <v>0</v>
      </c>
      <c r="K372" s="172" t="n">
        <v>2</v>
      </c>
      <c r="L372" t="n">
        <v>1.0294</v>
      </c>
      <c r="M372" s="172" t="n">
        <v>1</v>
      </c>
      <c r="N372" t="n">
        <v>0.5147</v>
      </c>
      <c r="O372" s="172" t="n">
        <v>1</v>
      </c>
      <c r="P372" t="n">
        <v>0.5147</v>
      </c>
      <c r="Q372" s="172" t="n">
        <v>6</v>
      </c>
      <c r="R372" s="172" t="n">
        <v>1</v>
      </c>
      <c r="S372" s="172" t="inlineStr">
        <is>
          <t>Census PEP Vintage 2025</t>
        </is>
      </c>
      <c r="T372" s="172" t="inlineStr">
        <is>
          <t>https://www2.census.gov/programs-surveys/popest/datasets/2020-2025/state/totals/NST-EST2025-ALLDATA.csv</t>
        </is>
      </c>
    </row>
    <row r="373">
      <c r="A373" s="172" t="n">
        <v>2022</v>
      </c>
      <c r="B373" t="inlineStr">
        <is>
          <t>IL</t>
        </is>
      </c>
      <c r="C373" t="inlineStr">
        <is>
          <t>17</t>
        </is>
      </c>
      <c r="D373" t="inlineStr">
        <is>
          <t>Illinois</t>
        </is>
      </c>
      <c r="E373" s="172" t="n">
        <v>24</v>
      </c>
      <c r="F373" s="172" t="n">
        <v>12609577</v>
      </c>
      <c r="G373" s="172" t="n">
        <v>0.1903</v>
      </c>
      <c r="H373" s="172" t="n">
        <v>1.9033</v>
      </c>
      <c r="I373" s="172" t="n">
        <v>0</v>
      </c>
      <c r="J373" t="n">
        <v>0</v>
      </c>
      <c r="K373" s="172" t="n">
        <v>19</v>
      </c>
      <c r="L373" t="n">
        <v>1.5068</v>
      </c>
      <c r="M373" s="172" t="n">
        <v>3</v>
      </c>
      <c r="N373" t="n">
        <v>0.2379</v>
      </c>
      <c r="O373" s="172" t="n">
        <v>5</v>
      </c>
      <c r="P373" t="n">
        <v>0.3965</v>
      </c>
      <c r="Q373" s="172" t="n">
        <v>16</v>
      </c>
      <c r="R373" s="172" t="n">
        <v>8</v>
      </c>
      <c r="S373" s="172" t="inlineStr">
        <is>
          <t>Census PEP Vintage 2025</t>
        </is>
      </c>
      <c r="T373" s="172" t="inlineStr">
        <is>
          <t>https://www2.census.gov/programs-surveys/popest/datasets/2020-2025/state/totals/NST-EST2025-ALLDATA.csv</t>
        </is>
      </c>
    </row>
    <row r="374">
      <c r="A374" s="172" t="n">
        <v>2022</v>
      </c>
      <c r="B374" t="inlineStr">
        <is>
          <t>IN</t>
        </is>
      </c>
      <c r="C374" t="inlineStr">
        <is>
          <t>18</t>
        </is>
      </c>
      <c r="D374" t="inlineStr">
        <is>
          <t>Indiana</t>
        </is>
      </c>
      <c r="E374" s="172" t="n">
        <v>17</v>
      </c>
      <c r="F374" s="172" t="n">
        <v>6841491</v>
      </c>
      <c r="G374" s="172" t="n">
        <v>0.2485</v>
      </c>
      <c r="H374" s="172" t="n">
        <v>2.4848</v>
      </c>
      <c r="I374" s="172" t="n">
        <v>0</v>
      </c>
      <c r="J374" t="n">
        <v>0</v>
      </c>
      <c r="K374" s="172" t="n">
        <v>10</v>
      </c>
      <c r="L374" t="n">
        <v>1.4617</v>
      </c>
      <c r="M374" s="172" t="n">
        <v>6</v>
      </c>
      <c r="N374" t="n">
        <v>0.877</v>
      </c>
      <c r="O374" s="172" t="n">
        <v>7</v>
      </c>
      <c r="P374" t="n">
        <v>1.0232</v>
      </c>
      <c r="Q374" s="172" t="n">
        <v>16</v>
      </c>
      <c r="R374" s="172" t="n">
        <v>1</v>
      </c>
      <c r="S374" s="172" t="inlineStr">
        <is>
          <t>Census PEP Vintage 2025</t>
        </is>
      </c>
      <c r="T374" s="172" t="inlineStr">
        <is>
          <t>https://www2.census.gov/programs-surveys/popest/datasets/2020-2025/state/totals/NST-EST2025-ALLDATA.csv</t>
        </is>
      </c>
    </row>
    <row r="375">
      <c r="A375" s="172" t="n">
        <v>2022</v>
      </c>
      <c r="B375" t="inlineStr">
        <is>
          <t>KS</t>
        </is>
      </c>
      <c r="C375" t="inlineStr">
        <is>
          <t>20</t>
        </is>
      </c>
      <c r="D375" t="inlineStr">
        <is>
          <t>Kansas</t>
        </is>
      </c>
      <c r="E375" s="172" t="n">
        <v>12</v>
      </c>
      <c r="F375" s="172" t="n">
        <v>2938034</v>
      </c>
      <c r="G375" s="172" t="n">
        <v>0.4084</v>
      </c>
      <c r="H375" s="172" t="n">
        <v>4.0844</v>
      </c>
      <c r="I375" s="172" t="n">
        <v>1</v>
      </c>
      <c r="J375" t="n">
        <v>0.3404</v>
      </c>
      <c r="K375" s="172" t="n">
        <v>7</v>
      </c>
      <c r="L375" t="n">
        <v>2.3825</v>
      </c>
      <c r="M375" s="172" t="n">
        <v>1</v>
      </c>
      <c r="N375" t="n">
        <v>0.3404</v>
      </c>
      <c r="O375" s="172" t="n">
        <v>1</v>
      </c>
      <c r="P375" t="n">
        <v>0.3404</v>
      </c>
      <c r="Q375" s="172" t="n">
        <v>11</v>
      </c>
      <c r="R375" s="172" t="n">
        <v>1</v>
      </c>
      <c r="S375" s="172" t="inlineStr">
        <is>
          <t>Census PEP Vintage 2025</t>
        </is>
      </c>
      <c r="T375" s="172" t="inlineStr">
        <is>
          <t>https://www2.census.gov/programs-surveys/popest/datasets/2020-2025/state/totals/NST-EST2025-ALLDATA.csv</t>
        </is>
      </c>
    </row>
    <row r="376">
      <c r="A376" s="172" t="n">
        <v>2022</v>
      </c>
      <c r="B376" t="inlineStr">
        <is>
          <t>KY</t>
        </is>
      </c>
      <c r="C376" t="inlineStr">
        <is>
          <t>21</t>
        </is>
      </c>
      <c r="D376" t="inlineStr">
        <is>
          <t>Kentucky</t>
        </is>
      </c>
      <c r="E376" s="172" t="n">
        <v>16</v>
      </c>
      <c r="F376" s="172" t="n">
        <v>4521238</v>
      </c>
      <c r="G376" s="172" t="n">
        <v>0.3539</v>
      </c>
      <c r="H376" s="172" t="n">
        <v>3.5389</v>
      </c>
      <c r="I376" s="172" t="n">
        <v>0</v>
      </c>
      <c r="J376" t="n">
        <v>0</v>
      </c>
      <c r="K376" s="172" t="n">
        <v>13</v>
      </c>
      <c r="L376" t="n">
        <v>2.8753</v>
      </c>
      <c r="M376" s="172" t="n">
        <v>3</v>
      </c>
      <c r="N376" t="n">
        <v>0.6635</v>
      </c>
      <c r="O376" s="172" t="n">
        <v>2</v>
      </c>
      <c r="P376" t="n">
        <v>0.4424</v>
      </c>
      <c r="Q376" s="172" t="n">
        <v>11</v>
      </c>
      <c r="R376" s="172" t="n">
        <v>5</v>
      </c>
      <c r="S376" s="172" t="inlineStr">
        <is>
          <t>Census PEP Vintage 2025</t>
        </is>
      </c>
      <c r="T376" s="172" t="inlineStr">
        <is>
          <t>https://www2.census.gov/programs-surveys/popest/datasets/2020-2025/state/totals/NST-EST2025-ALLDATA.csv</t>
        </is>
      </c>
    </row>
    <row r="377">
      <c r="A377" s="172" t="n">
        <v>2022</v>
      </c>
      <c r="B377" t="inlineStr">
        <is>
          <t>LA</t>
        </is>
      </c>
      <c r="C377" t="inlineStr">
        <is>
          <t>22</t>
        </is>
      </c>
      <c r="D377" t="inlineStr">
        <is>
          <t>Louisiana</t>
        </is>
      </c>
      <c r="E377" s="172" t="n">
        <v>19</v>
      </c>
      <c r="F377" s="172" t="n">
        <v>4600892</v>
      </c>
      <c r="G377" s="172" t="n">
        <v>0.413</v>
      </c>
      <c r="H377" s="172" t="n">
        <v>4.1296</v>
      </c>
      <c r="I377" s="172" t="n">
        <v>3</v>
      </c>
      <c r="J377" t="n">
        <v>0.652</v>
      </c>
      <c r="K377" s="172" t="n">
        <v>8</v>
      </c>
      <c r="L377" t="n">
        <v>1.7388</v>
      </c>
      <c r="M377" s="172" t="n">
        <v>1</v>
      </c>
      <c r="N377" t="n">
        <v>0.2173</v>
      </c>
      <c r="O377" s="172" t="n">
        <v>3</v>
      </c>
      <c r="P377" t="n">
        <v>0.652</v>
      </c>
      <c r="Q377" s="172" t="n">
        <v>14</v>
      </c>
      <c r="R377" s="172" t="n">
        <v>5</v>
      </c>
      <c r="S377" s="172" t="inlineStr">
        <is>
          <t>Census PEP Vintage 2025</t>
        </is>
      </c>
      <c r="T377" s="172" t="inlineStr">
        <is>
          <t>https://www2.census.gov/programs-surveys/popest/datasets/2020-2025/state/totals/NST-EST2025-ALLDATA.csv</t>
        </is>
      </c>
    </row>
    <row r="378">
      <c r="A378" s="172" t="n">
        <v>2022</v>
      </c>
      <c r="B378" t="inlineStr">
        <is>
          <t>MA</t>
        </is>
      </c>
      <c r="C378" t="inlineStr">
        <is>
          <t>25</t>
        </is>
      </c>
      <c r="D378" t="inlineStr">
        <is>
          <t>Massachusetts</t>
        </is>
      </c>
      <c r="E378" s="172" t="n">
        <v>5</v>
      </c>
      <c r="F378" s="172" t="n">
        <v>7025465</v>
      </c>
      <c r="G378" s="172" t="n">
        <v>0.0712</v>
      </c>
      <c r="H378" s="172" t="n">
        <v>0.7117</v>
      </c>
      <c r="I378" s="172" t="n">
        <v>0</v>
      </c>
      <c r="J378" t="n">
        <v>0</v>
      </c>
      <c r="K378" s="172" t="n">
        <v>0</v>
      </c>
      <c r="L378" t="n">
        <v>0</v>
      </c>
      <c r="M378" s="172" t="n">
        <v>3</v>
      </c>
      <c r="N378" t="n">
        <v>0.427</v>
      </c>
      <c r="O378" s="172" t="n">
        <v>1</v>
      </c>
      <c r="P378" t="n">
        <v>0.1423</v>
      </c>
      <c r="Q378" s="172" t="n">
        <v>5</v>
      </c>
      <c r="R378" s="172" t="n">
        <v>0</v>
      </c>
      <c r="S378" s="172" t="inlineStr">
        <is>
          <t>Census PEP Vintage 2025</t>
        </is>
      </c>
      <c r="T378" s="172" t="inlineStr">
        <is>
          <t>https://www2.census.gov/programs-surveys/popest/datasets/2020-2025/state/totals/NST-EST2025-ALLDATA.csv</t>
        </is>
      </c>
    </row>
    <row r="379">
      <c r="A379" s="172" t="n">
        <v>2022</v>
      </c>
      <c r="B379" t="inlineStr">
        <is>
          <t>MD</t>
        </is>
      </c>
      <c r="C379" t="inlineStr">
        <is>
          <t>24</t>
        </is>
      </c>
      <c r="D379" t="inlineStr">
        <is>
          <t>Maryland</t>
        </is>
      </c>
      <c r="E379" s="172" t="n">
        <v>11</v>
      </c>
      <c r="F379" s="172" t="n">
        <v>6183257</v>
      </c>
      <c r="G379" s="172" t="n">
        <v>0.1779</v>
      </c>
      <c r="H379" s="172" t="n">
        <v>1.779</v>
      </c>
      <c r="I379" s="172" t="n">
        <v>1</v>
      </c>
      <c r="J379" t="n">
        <v>0.1617</v>
      </c>
      <c r="K379" s="172" t="n">
        <v>4</v>
      </c>
      <c r="L379" t="n">
        <v>0.6469</v>
      </c>
      <c r="M379" s="172" t="n">
        <v>2</v>
      </c>
      <c r="N379" t="n">
        <v>0.3235</v>
      </c>
      <c r="O379" s="172" t="n">
        <v>5</v>
      </c>
      <c r="P379" t="n">
        <v>0.8086</v>
      </c>
      <c r="Q379" s="172" t="n">
        <v>11</v>
      </c>
      <c r="R379" s="172" t="n">
        <v>0</v>
      </c>
      <c r="S379" s="172" t="inlineStr">
        <is>
          <t>Census PEP Vintage 2025</t>
        </is>
      </c>
      <c r="T379" s="172" t="inlineStr">
        <is>
          <t>https://www2.census.gov/programs-surveys/popest/datasets/2020-2025/state/totals/NST-EST2025-ALLDATA.csv</t>
        </is>
      </c>
    </row>
    <row r="380">
      <c r="A380" s="172" t="n">
        <v>2022</v>
      </c>
      <c r="B380" t="inlineStr">
        <is>
          <t>ME</t>
        </is>
      </c>
      <c r="C380" t="inlineStr">
        <is>
          <t>23</t>
        </is>
      </c>
      <c r="D380" t="inlineStr">
        <is>
          <t>Maine</t>
        </is>
      </c>
      <c r="E380" s="172" t="n">
        <v>5</v>
      </c>
      <c r="F380" s="172" t="n">
        <v>1391585</v>
      </c>
      <c r="G380" s="172" t="n">
        <v>0.3593</v>
      </c>
      <c r="H380" s="172" t="n">
        <v>3.593</v>
      </c>
      <c r="I380" s="172" t="n">
        <v>1</v>
      </c>
      <c r="J380" t="n">
        <v>0.7186</v>
      </c>
      <c r="K380" s="172" t="n">
        <v>3</v>
      </c>
      <c r="L380" t="n">
        <v>2.1558</v>
      </c>
      <c r="M380" s="172" t="n">
        <v>2</v>
      </c>
      <c r="N380" t="n">
        <v>1.4372</v>
      </c>
      <c r="O380" s="172" t="n">
        <v>0</v>
      </c>
      <c r="P380" t="n">
        <v>0</v>
      </c>
      <c r="Q380" s="172" t="n">
        <v>5</v>
      </c>
      <c r="R380" s="172" t="n">
        <v>0</v>
      </c>
      <c r="S380" s="172" t="inlineStr">
        <is>
          <t>Census PEP Vintage 2025</t>
        </is>
      </c>
      <c r="T380" s="172" t="inlineStr">
        <is>
          <t>https://www2.census.gov/programs-surveys/popest/datasets/2020-2025/state/totals/NST-EST2025-ALLDATA.csv</t>
        </is>
      </c>
    </row>
    <row r="381">
      <c r="A381" s="172" t="n">
        <v>2022</v>
      </c>
      <c r="B381" t="inlineStr">
        <is>
          <t>MI</t>
        </is>
      </c>
      <c r="C381" t="inlineStr">
        <is>
          <t>26</t>
        </is>
      </c>
      <c r="D381" t="inlineStr">
        <is>
          <t>Michigan</t>
        </is>
      </c>
      <c r="E381" s="172" t="n">
        <v>20</v>
      </c>
      <c r="F381" s="172" t="n">
        <v>10043906</v>
      </c>
      <c r="G381" s="172" t="n">
        <v>0.1991</v>
      </c>
      <c r="H381" s="172" t="n">
        <v>1.9913</v>
      </c>
      <c r="I381" s="172" t="n">
        <v>2</v>
      </c>
      <c r="J381" t="n">
        <v>0.1991</v>
      </c>
      <c r="K381" s="172" t="n">
        <v>13</v>
      </c>
      <c r="L381" t="n">
        <v>1.2943</v>
      </c>
      <c r="M381" s="172" t="n">
        <v>5</v>
      </c>
      <c r="N381" t="n">
        <v>0.4978</v>
      </c>
      <c r="O381" s="172" t="n">
        <v>5</v>
      </c>
      <c r="P381" t="n">
        <v>0.4978</v>
      </c>
      <c r="Q381" s="172" t="n">
        <v>16</v>
      </c>
      <c r="R381" s="172" t="n">
        <v>4</v>
      </c>
      <c r="S381" s="172" t="inlineStr">
        <is>
          <t>Census PEP Vintage 2025</t>
        </is>
      </c>
      <c r="T381" s="172" t="inlineStr">
        <is>
          <t>https://www2.census.gov/programs-surveys/popest/datasets/2020-2025/state/totals/NST-EST2025-ALLDATA.csv</t>
        </is>
      </c>
    </row>
    <row r="382">
      <c r="A382" s="172" t="n">
        <v>2022</v>
      </c>
      <c r="B382" t="inlineStr">
        <is>
          <t>MN</t>
        </is>
      </c>
      <c r="C382" t="inlineStr">
        <is>
          <t>27</t>
        </is>
      </c>
      <c r="D382" t="inlineStr">
        <is>
          <t>Minnesota</t>
        </is>
      </c>
      <c r="E382" s="172" t="n">
        <v>9</v>
      </c>
      <c r="F382" s="172" t="n">
        <v>5727565</v>
      </c>
      <c r="G382" s="172" t="n">
        <v>0.1571</v>
      </c>
      <c r="H382" s="172" t="n">
        <v>1.5713</v>
      </c>
      <c r="I382" s="172" t="n">
        <v>0</v>
      </c>
      <c r="J382" t="n">
        <v>0</v>
      </c>
      <c r="K382" s="172" t="n">
        <v>3</v>
      </c>
      <c r="L382" t="n">
        <v>0.5238</v>
      </c>
      <c r="M382" s="172" t="n">
        <v>4</v>
      </c>
      <c r="N382" t="n">
        <v>0.6984</v>
      </c>
      <c r="O382" s="172" t="n">
        <v>5</v>
      </c>
      <c r="P382" t="n">
        <v>0.873</v>
      </c>
      <c r="Q382" s="172" t="n">
        <v>9</v>
      </c>
      <c r="R382" s="172" t="n">
        <v>0</v>
      </c>
      <c r="S382" s="172" t="inlineStr">
        <is>
          <t>Census PEP Vintage 2025</t>
        </is>
      </c>
      <c r="T382" s="172" t="inlineStr">
        <is>
          <t>https://www2.census.gov/programs-surveys/popest/datasets/2020-2025/state/totals/NST-EST2025-ALLDATA.csv</t>
        </is>
      </c>
    </row>
    <row r="383">
      <c r="A383" s="172" t="n">
        <v>2022</v>
      </c>
      <c r="B383" t="inlineStr">
        <is>
          <t>MO</t>
        </is>
      </c>
      <c r="C383" t="inlineStr">
        <is>
          <t>29</t>
        </is>
      </c>
      <c r="D383" t="inlineStr">
        <is>
          <t>Missouri</t>
        </is>
      </c>
      <c r="E383" s="172" t="n">
        <v>29</v>
      </c>
      <c r="F383" s="172" t="n">
        <v>6179285</v>
      </c>
      <c r="G383" s="172" t="n">
        <v>0.4693</v>
      </c>
      <c r="H383" s="172" t="n">
        <v>4.6931</v>
      </c>
      <c r="I383" s="172" t="n">
        <v>1</v>
      </c>
      <c r="J383" t="n">
        <v>0.1618</v>
      </c>
      <c r="K383" s="172" t="n">
        <v>18</v>
      </c>
      <c r="L383" t="n">
        <v>2.913</v>
      </c>
      <c r="M383" s="172" t="n">
        <v>3</v>
      </c>
      <c r="N383" t="n">
        <v>0.4855</v>
      </c>
      <c r="O383" s="172" t="n">
        <v>4</v>
      </c>
      <c r="P383" t="n">
        <v>0.6473</v>
      </c>
      <c r="Q383" s="172" t="n">
        <v>25</v>
      </c>
      <c r="R383" s="172" t="n">
        <v>4</v>
      </c>
      <c r="S383" s="172" t="inlineStr">
        <is>
          <t>Census PEP Vintage 2025</t>
        </is>
      </c>
      <c r="T383" s="172" t="inlineStr">
        <is>
          <t>https://www2.census.gov/programs-surveys/popest/datasets/2020-2025/state/totals/NST-EST2025-ALLDATA.csv</t>
        </is>
      </c>
    </row>
    <row r="384">
      <c r="A384" s="172" t="n">
        <v>2022</v>
      </c>
      <c r="B384" t="inlineStr">
        <is>
          <t>MS</t>
        </is>
      </c>
      <c r="C384" t="inlineStr">
        <is>
          <t>28</t>
        </is>
      </c>
      <c r="D384" t="inlineStr">
        <is>
          <t>Mississippi</t>
        </is>
      </c>
      <c r="E384" s="172" t="n">
        <v>13</v>
      </c>
      <c r="F384" s="172" t="n">
        <v>2941237</v>
      </c>
      <c r="G384" s="172" t="n">
        <v>0.442</v>
      </c>
      <c r="H384" s="172" t="n">
        <v>4.4199</v>
      </c>
      <c r="I384" s="172" t="n">
        <v>0</v>
      </c>
      <c r="J384" t="n">
        <v>0</v>
      </c>
      <c r="K384" s="172" t="n">
        <v>10</v>
      </c>
      <c r="L384" t="n">
        <v>3.3999</v>
      </c>
      <c r="M384" s="172" t="n">
        <v>2</v>
      </c>
      <c r="N384" t="n">
        <v>0.68</v>
      </c>
      <c r="O384" s="172" t="n">
        <v>0</v>
      </c>
      <c r="P384" t="n">
        <v>0</v>
      </c>
      <c r="Q384" s="172" t="n">
        <v>11</v>
      </c>
      <c r="R384" s="172" t="n">
        <v>2</v>
      </c>
      <c r="S384" s="172" t="inlineStr">
        <is>
          <t>Census PEP Vintage 2025</t>
        </is>
      </c>
      <c r="T384" s="172" t="inlineStr">
        <is>
          <t>https://www2.census.gov/programs-surveys/popest/datasets/2020-2025/state/totals/NST-EST2025-ALLDATA.csv</t>
        </is>
      </c>
    </row>
    <row r="385">
      <c r="A385" s="172" t="n">
        <v>2022</v>
      </c>
      <c r="B385" t="inlineStr">
        <is>
          <t>MT</t>
        </is>
      </c>
      <c r="C385" t="inlineStr">
        <is>
          <t>30</t>
        </is>
      </c>
      <c r="D385" t="inlineStr">
        <is>
          <t>Montana</t>
        </is>
      </c>
      <c r="E385" s="172" t="n">
        <v>7</v>
      </c>
      <c r="F385" s="172" t="n">
        <v>1121533</v>
      </c>
      <c r="G385" s="172" t="n">
        <v>0.6241</v>
      </c>
      <c r="H385" s="172" t="n">
        <v>6.2415</v>
      </c>
      <c r="I385" s="172" t="n">
        <v>0</v>
      </c>
      <c r="J385" t="n">
        <v>0</v>
      </c>
      <c r="K385" s="172" t="n">
        <v>3</v>
      </c>
      <c r="L385" t="n">
        <v>2.6749</v>
      </c>
      <c r="M385" s="172" t="n">
        <v>0</v>
      </c>
      <c r="N385" t="n">
        <v>0</v>
      </c>
      <c r="O385" s="172" t="n">
        <v>1</v>
      </c>
      <c r="P385" t="n">
        <v>0.8915999999999999</v>
      </c>
      <c r="Q385" s="172" t="n">
        <v>6</v>
      </c>
      <c r="R385" s="172" t="n">
        <v>1</v>
      </c>
      <c r="S385" s="172" t="inlineStr">
        <is>
          <t>Census PEP Vintage 2025</t>
        </is>
      </c>
      <c r="T385" s="172" t="inlineStr">
        <is>
          <t>https://www2.census.gov/programs-surveys/popest/datasets/2020-2025/state/totals/NST-EST2025-ALLDATA.csv</t>
        </is>
      </c>
    </row>
    <row r="386">
      <c r="A386" s="172" t="n">
        <v>2022</v>
      </c>
      <c r="B386" t="inlineStr">
        <is>
          <t>NC</t>
        </is>
      </c>
      <c r="C386" t="inlineStr">
        <is>
          <t>37</t>
        </is>
      </c>
      <c r="D386" t="inlineStr">
        <is>
          <t>North Carolina</t>
        </is>
      </c>
      <c r="E386" s="172" t="n">
        <v>32</v>
      </c>
      <c r="F386" s="172" t="n">
        <v>10705768</v>
      </c>
      <c r="G386" s="172" t="n">
        <v>0.2989</v>
      </c>
      <c r="H386" s="172" t="n">
        <v>2.989</v>
      </c>
      <c r="I386" s="172" t="n">
        <v>0</v>
      </c>
      <c r="J386" t="n">
        <v>0</v>
      </c>
      <c r="K386" s="172" t="n">
        <v>20</v>
      </c>
      <c r="L386" t="n">
        <v>1.8682</v>
      </c>
      <c r="M386" s="172" t="n">
        <v>9</v>
      </c>
      <c r="N386" t="n">
        <v>0.8407</v>
      </c>
      <c r="O386" s="172" t="n">
        <v>5</v>
      </c>
      <c r="P386" t="n">
        <v>0.467</v>
      </c>
      <c r="Q386" s="172" t="n">
        <v>30</v>
      </c>
      <c r="R386" s="172" t="n">
        <v>2</v>
      </c>
      <c r="S386" s="172" t="inlineStr">
        <is>
          <t>Census PEP Vintage 2025</t>
        </is>
      </c>
      <c r="T386" s="172" t="inlineStr">
        <is>
          <t>https://www2.census.gov/programs-surveys/popest/datasets/2020-2025/state/totals/NST-EST2025-ALLDATA.csv</t>
        </is>
      </c>
    </row>
    <row r="387">
      <c r="A387" s="172" t="n">
        <v>2022</v>
      </c>
      <c r="B387" t="inlineStr">
        <is>
          <t>ND</t>
        </is>
      </c>
      <c r="C387" t="inlineStr">
        <is>
          <t>38</t>
        </is>
      </c>
      <c r="D387" t="inlineStr">
        <is>
          <t>North Dakota</t>
        </is>
      </c>
      <c r="E387" s="172" t="n">
        <v>3</v>
      </c>
      <c r="F387" s="172" t="n">
        <v>780191</v>
      </c>
      <c r="G387" s="172" t="n">
        <v>0.3845</v>
      </c>
      <c r="H387" s="172" t="n">
        <v>3.8452</v>
      </c>
      <c r="I387" s="172" t="n">
        <v>2</v>
      </c>
      <c r="J387" t="n">
        <v>2.5635</v>
      </c>
      <c r="K387" s="172" t="n">
        <v>1</v>
      </c>
      <c r="L387" t="n">
        <v>1.2817</v>
      </c>
      <c r="M387" s="172" t="n">
        <v>1</v>
      </c>
      <c r="N387" t="n">
        <v>1.2817</v>
      </c>
      <c r="O387" s="172" t="n">
        <v>0</v>
      </c>
      <c r="P387" t="n">
        <v>0</v>
      </c>
      <c r="Q387" s="172" t="n">
        <v>3</v>
      </c>
      <c r="R387" s="172" t="n">
        <v>0</v>
      </c>
      <c r="S387" s="172" t="inlineStr">
        <is>
          <t>Census PEP Vintage 2025</t>
        </is>
      </c>
      <c r="T387" s="172" t="inlineStr">
        <is>
          <t>https://www2.census.gov/programs-surveys/popest/datasets/2020-2025/state/totals/NST-EST2025-ALLDATA.csv</t>
        </is>
      </c>
    </row>
    <row r="388">
      <c r="A388" s="172" t="n">
        <v>2022</v>
      </c>
      <c r="B388" t="inlineStr">
        <is>
          <t>NE</t>
        </is>
      </c>
      <c r="C388" t="inlineStr">
        <is>
          <t>31</t>
        </is>
      </c>
      <c r="D388" t="inlineStr">
        <is>
          <t>Nebraska</t>
        </is>
      </c>
      <c r="E388" s="172" t="n">
        <v>4</v>
      </c>
      <c r="F388" s="172" t="n">
        <v>1972595</v>
      </c>
      <c r="G388" s="172" t="n">
        <v>0.2028</v>
      </c>
      <c r="H388" s="172" t="n">
        <v>2.0278</v>
      </c>
      <c r="I388" s="172" t="n">
        <v>1</v>
      </c>
      <c r="J388" t="n">
        <v>0.5069</v>
      </c>
      <c r="K388" s="172" t="n">
        <v>2</v>
      </c>
      <c r="L388" t="n">
        <v>1.0139</v>
      </c>
      <c r="M388" s="172" t="n">
        <v>0</v>
      </c>
      <c r="N388" t="n">
        <v>0</v>
      </c>
      <c r="O388" s="172" t="n">
        <v>2</v>
      </c>
      <c r="P388" t="n">
        <v>1.0139</v>
      </c>
      <c r="Q388" s="172" t="n">
        <v>4</v>
      </c>
      <c r="R388" s="172" t="n">
        <v>0</v>
      </c>
      <c r="S388" s="172" t="inlineStr">
        <is>
          <t>Census PEP Vintage 2025</t>
        </is>
      </c>
      <c r="T388" s="172" t="inlineStr">
        <is>
          <t>https://www2.census.gov/programs-surveys/popest/datasets/2020-2025/state/totals/NST-EST2025-ALLDATA.csv</t>
        </is>
      </c>
    </row>
    <row r="389">
      <c r="A389" s="172" t="n">
        <v>2022</v>
      </c>
      <c r="B389" t="inlineStr">
        <is>
          <t>NH</t>
        </is>
      </c>
      <c r="C389" t="inlineStr">
        <is>
          <t>33</t>
        </is>
      </c>
      <c r="D389" t="inlineStr">
        <is>
          <t>New Hampshire</t>
        </is>
      </c>
      <c r="E389" s="172" t="n">
        <v>4</v>
      </c>
      <c r="F389" s="172" t="n">
        <v>1396647</v>
      </c>
      <c r="G389" s="172" t="n">
        <v>0.2864</v>
      </c>
      <c r="H389" s="172" t="n">
        <v>2.864</v>
      </c>
      <c r="I389" s="172" t="n">
        <v>0</v>
      </c>
      <c r="J389" t="n">
        <v>0</v>
      </c>
      <c r="K389" s="172" t="n">
        <v>1</v>
      </c>
      <c r="L389" t="n">
        <v>0.716</v>
      </c>
      <c r="M389" s="172" t="n">
        <v>1</v>
      </c>
      <c r="N389" t="n">
        <v>0.716</v>
      </c>
      <c r="O389" s="172" t="n">
        <v>1</v>
      </c>
      <c r="P389" t="n">
        <v>0.716</v>
      </c>
      <c r="Q389" s="172" t="n">
        <v>3</v>
      </c>
      <c r="R389" s="172" t="n">
        <v>1</v>
      </c>
      <c r="S389" s="172" t="inlineStr">
        <is>
          <t>Census PEP Vintage 2025</t>
        </is>
      </c>
      <c r="T389" s="172" t="inlineStr">
        <is>
          <t>https://www2.census.gov/programs-surveys/popest/datasets/2020-2025/state/totals/NST-EST2025-ALLDATA.csv</t>
        </is>
      </c>
    </row>
    <row r="390">
      <c r="A390" s="172" t="n">
        <v>2022</v>
      </c>
      <c r="B390" t="inlineStr">
        <is>
          <t>NJ</t>
        </is>
      </c>
      <c r="C390" t="inlineStr">
        <is>
          <t>34</t>
        </is>
      </c>
      <c r="D390" t="inlineStr">
        <is>
          <t>New Jersey</t>
        </is>
      </c>
      <c r="E390" s="172" t="n">
        <v>8</v>
      </c>
      <c r="F390" s="172" t="n">
        <v>9298402</v>
      </c>
      <c r="G390" s="172" t="n">
        <v>0.08599999999999999</v>
      </c>
      <c r="H390" s="172" t="n">
        <v>0.8604000000000001</v>
      </c>
      <c r="I390" s="172" t="n">
        <v>0</v>
      </c>
      <c r="J390" t="n">
        <v>0</v>
      </c>
      <c r="K390" s="172" t="n">
        <v>3</v>
      </c>
      <c r="L390" t="n">
        <v>0.3226</v>
      </c>
      <c r="M390" s="172" t="n">
        <v>0</v>
      </c>
      <c r="N390" t="n">
        <v>0</v>
      </c>
      <c r="O390" s="172" t="n">
        <v>1</v>
      </c>
      <c r="P390" t="n">
        <v>0.1075</v>
      </c>
      <c r="Q390" s="172" t="n">
        <v>6</v>
      </c>
      <c r="R390" s="172" t="n">
        <v>2</v>
      </c>
      <c r="S390" s="172" t="inlineStr">
        <is>
          <t>Census PEP Vintage 2025</t>
        </is>
      </c>
      <c r="T390" s="172" t="inlineStr">
        <is>
          <t>https://www2.census.gov/programs-surveys/popest/datasets/2020-2025/state/totals/NST-EST2025-ALLDATA.csv</t>
        </is>
      </c>
    </row>
    <row r="391">
      <c r="A391" s="172" t="n">
        <v>2022</v>
      </c>
      <c r="B391" t="inlineStr">
        <is>
          <t>NM</t>
        </is>
      </c>
      <c r="C391" t="inlineStr">
        <is>
          <t>35</t>
        </is>
      </c>
      <c r="D391" t="inlineStr">
        <is>
          <t>New Mexico</t>
        </is>
      </c>
      <c r="E391" s="172" t="n">
        <v>30</v>
      </c>
      <c r="F391" s="172" t="n">
        <v>2112859</v>
      </c>
      <c r="G391" s="172" t="n">
        <v>1.4199</v>
      </c>
      <c r="H391" s="172" t="n">
        <v>14.1988</v>
      </c>
      <c r="I391" s="172" t="n">
        <v>2</v>
      </c>
      <c r="J391" t="n">
        <v>0.9466</v>
      </c>
      <c r="K391" s="172" t="n">
        <v>16</v>
      </c>
      <c r="L391" t="n">
        <v>7.5727</v>
      </c>
      <c r="M391" s="172" t="n">
        <v>7</v>
      </c>
      <c r="N391" t="n">
        <v>3.313</v>
      </c>
      <c r="O391" s="172" t="n">
        <v>5</v>
      </c>
      <c r="P391" t="n">
        <v>2.3665</v>
      </c>
      <c r="Q391" s="172" t="n">
        <v>22</v>
      </c>
      <c r="R391" s="172" t="n">
        <v>8</v>
      </c>
      <c r="S391" s="172" t="inlineStr">
        <is>
          <t>Census PEP Vintage 2025</t>
        </is>
      </c>
      <c r="T391" s="172" t="inlineStr">
        <is>
          <t>https://www2.census.gov/programs-surveys/popest/datasets/2020-2025/state/totals/NST-EST2025-ALLDATA.csv</t>
        </is>
      </c>
    </row>
    <row r="392">
      <c r="A392" s="172" t="n">
        <v>2022</v>
      </c>
      <c r="B392" t="inlineStr">
        <is>
          <t>NV</t>
        </is>
      </c>
      <c r="C392" t="inlineStr">
        <is>
          <t>32</t>
        </is>
      </c>
      <c r="D392" t="inlineStr">
        <is>
          <t>Nevada</t>
        </is>
      </c>
      <c r="E392" s="172" t="n">
        <v>15</v>
      </c>
      <c r="F392" s="172" t="n">
        <v>3177672</v>
      </c>
      <c r="G392" s="172" t="n">
        <v>0.472</v>
      </c>
      <c r="H392" s="172" t="n">
        <v>4.7204</v>
      </c>
      <c r="I392" s="172" t="n">
        <v>0</v>
      </c>
      <c r="J392" t="n">
        <v>0</v>
      </c>
      <c r="K392" s="172" t="n">
        <v>10</v>
      </c>
      <c r="L392" t="n">
        <v>3.147</v>
      </c>
      <c r="M392" s="172" t="n">
        <v>0</v>
      </c>
      <c r="N392" t="n">
        <v>0</v>
      </c>
      <c r="O392" s="172" t="n">
        <v>2</v>
      </c>
      <c r="P392" t="n">
        <v>0.6294</v>
      </c>
      <c r="Q392" s="172" t="n">
        <v>14</v>
      </c>
      <c r="R392" s="172" t="n">
        <v>1</v>
      </c>
      <c r="S392" s="172" t="inlineStr">
        <is>
          <t>Census PEP Vintage 2025</t>
        </is>
      </c>
      <c r="T392" s="172" t="inlineStr">
        <is>
          <t>https://www2.census.gov/programs-surveys/popest/datasets/2020-2025/state/totals/NST-EST2025-ALLDATA.csv</t>
        </is>
      </c>
    </row>
    <row r="393">
      <c r="A393" s="172" t="n">
        <v>2022</v>
      </c>
      <c r="B393" t="inlineStr">
        <is>
          <t>NY</t>
        </is>
      </c>
      <c r="C393" t="inlineStr">
        <is>
          <t>36</t>
        </is>
      </c>
      <c r="D393" t="inlineStr">
        <is>
          <t>New York</t>
        </is>
      </c>
      <c r="E393" s="172" t="n">
        <v>21</v>
      </c>
      <c r="F393" s="172" t="n">
        <v>19713025</v>
      </c>
      <c r="G393" s="172" t="n">
        <v>0.1065</v>
      </c>
      <c r="H393" s="172" t="n">
        <v>1.0653</v>
      </c>
      <c r="I393" s="172" t="n">
        <v>0</v>
      </c>
      <c r="J393" t="n">
        <v>0</v>
      </c>
      <c r="K393" s="172" t="n">
        <v>13</v>
      </c>
      <c r="L393" t="n">
        <v>0.6595</v>
      </c>
      <c r="M393" s="172" t="n">
        <v>4</v>
      </c>
      <c r="N393" t="n">
        <v>0.2029</v>
      </c>
      <c r="O393" s="172" t="n">
        <v>5</v>
      </c>
      <c r="P393" t="n">
        <v>0.2536</v>
      </c>
      <c r="Q393" s="172" t="n">
        <v>21</v>
      </c>
      <c r="R393" s="172" t="n">
        <v>0</v>
      </c>
      <c r="S393" s="172" t="inlineStr">
        <is>
          <t>Census PEP Vintage 2025</t>
        </is>
      </c>
      <c r="T393" s="172" t="inlineStr">
        <is>
          <t>https://www2.census.gov/programs-surveys/popest/datasets/2020-2025/state/totals/NST-EST2025-ALLDATA.csv</t>
        </is>
      </c>
    </row>
    <row r="394">
      <c r="A394" s="172" t="n">
        <v>2022</v>
      </c>
      <c r="B394" t="inlineStr">
        <is>
          <t>OH</t>
        </is>
      </c>
      <c r="C394" t="inlineStr">
        <is>
          <t>39</t>
        </is>
      </c>
      <c r="D394" t="inlineStr">
        <is>
          <t>Ohio</t>
        </is>
      </c>
      <c r="E394" s="172" t="n">
        <v>38</v>
      </c>
      <c r="F394" s="172" t="n">
        <v>11764950</v>
      </c>
      <c r="G394" s="172" t="n">
        <v>0.323</v>
      </c>
      <c r="H394" s="172" t="n">
        <v>3.2299</v>
      </c>
      <c r="I394" s="172" t="n">
        <v>3</v>
      </c>
      <c r="J394" t="n">
        <v>0.255</v>
      </c>
      <c r="K394" s="172" t="n">
        <v>27</v>
      </c>
      <c r="L394" t="n">
        <v>2.295</v>
      </c>
      <c r="M394" s="172" t="n">
        <v>5</v>
      </c>
      <c r="N394" t="n">
        <v>0.425</v>
      </c>
      <c r="O394" s="172" t="n">
        <v>15</v>
      </c>
      <c r="P394" t="n">
        <v>1.275</v>
      </c>
      <c r="Q394" s="172" t="n">
        <v>37</v>
      </c>
      <c r="R394" s="172" t="n">
        <v>1</v>
      </c>
      <c r="S394" s="172" t="inlineStr">
        <is>
          <t>Census PEP Vintage 2025</t>
        </is>
      </c>
      <c r="T394" s="172" t="inlineStr">
        <is>
          <t>https://www2.census.gov/programs-surveys/popest/datasets/2020-2025/state/totals/NST-EST2025-ALLDATA.csv</t>
        </is>
      </c>
    </row>
    <row r="395">
      <c r="A395" s="172" t="n">
        <v>2022</v>
      </c>
      <c r="B395" t="inlineStr">
        <is>
          <t>OK</t>
        </is>
      </c>
      <c r="C395" t="inlineStr">
        <is>
          <t>40</t>
        </is>
      </c>
      <c r="D395" t="inlineStr">
        <is>
          <t>Oklahoma</t>
        </is>
      </c>
      <c r="E395" s="172" t="n">
        <v>28</v>
      </c>
      <c r="F395" s="172" t="n">
        <v>4025327</v>
      </c>
      <c r="G395" s="172" t="n">
        <v>0.6956</v>
      </c>
      <c r="H395" s="172" t="n">
        <v>6.956</v>
      </c>
      <c r="I395" s="172" t="n">
        <v>1</v>
      </c>
      <c r="J395" t="n">
        <v>0.2484</v>
      </c>
      <c r="K395" s="172" t="n">
        <v>18</v>
      </c>
      <c r="L395" t="n">
        <v>4.4717</v>
      </c>
      <c r="M395" s="172" t="n">
        <v>1</v>
      </c>
      <c r="N395" t="n">
        <v>0.2484</v>
      </c>
      <c r="O395" s="172" t="n">
        <v>4</v>
      </c>
      <c r="P395" t="n">
        <v>0.9937</v>
      </c>
      <c r="Q395" s="172" t="n">
        <v>22</v>
      </c>
      <c r="R395" s="172" t="n">
        <v>6</v>
      </c>
      <c r="S395" s="172" t="inlineStr">
        <is>
          <t>Census PEP Vintage 2025</t>
        </is>
      </c>
      <c r="T395" s="172" t="inlineStr">
        <is>
          <t>https://www2.census.gov/programs-surveys/popest/datasets/2020-2025/state/totals/NST-EST2025-ALLDATA.csv</t>
        </is>
      </c>
    </row>
    <row r="396">
      <c r="A396" s="172" t="n">
        <v>2022</v>
      </c>
      <c r="B396" t="inlineStr">
        <is>
          <t>OR</t>
        </is>
      </c>
      <c r="C396" t="inlineStr">
        <is>
          <t>41</t>
        </is>
      </c>
      <c r="D396" t="inlineStr">
        <is>
          <t>Oregon</t>
        </is>
      </c>
      <c r="E396" s="172" t="n">
        <v>23</v>
      </c>
      <c r="F396" s="172" t="n">
        <v>4245964</v>
      </c>
      <c r="G396" s="172" t="n">
        <v>0.5417</v>
      </c>
      <c r="H396" s="172" t="n">
        <v>5.4169</v>
      </c>
      <c r="I396" s="172" t="n">
        <v>4</v>
      </c>
      <c r="J396" t="n">
        <v>0.9421</v>
      </c>
      <c r="K396" s="172" t="n">
        <v>11</v>
      </c>
      <c r="L396" t="n">
        <v>2.5907</v>
      </c>
      <c r="M396" s="172" t="n">
        <v>3</v>
      </c>
      <c r="N396" t="n">
        <v>0.7066</v>
      </c>
      <c r="O396" s="172" t="n">
        <v>2</v>
      </c>
      <c r="P396" t="n">
        <v>0.471</v>
      </c>
      <c r="Q396" s="172" t="n">
        <v>16</v>
      </c>
      <c r="R396" s="172" t="n">
        <v>7</v>
      </c>
      <c r="S396" s="172" t="inlineStr">
        <is>
          <t>Census PEP Vintage 2025</t>
        </is>
      </c>
      <c r="T396" s="172" t="inlineStr">
        <is>
          <t>https://www2.census.gov/programs-surveys/popest/datasets/2020-2025/state/totals/NST-EST2025-ALLDATA.csv</t>
        </is>
      </c>
    </row>
    <row r="397">
      <c r="A397" s="172" t="n">
        <v>2022</v>
      </c>
      <c r="B397" t="inlineStr">
        <is>
          <t>PA</t>
        </is>
      </c>
      <c r="C397" t="inlineStr">
        <is>
          <t>42</t>
        </is>
      </c>
      <c r="D397" t="inlineStr">
        <is>
          <t>Pennsylvania</t>
        </is>
      </c>
      <c r="E397" s="172" t="n">
        <v>23</v>
      </c>
      <c r="F397" s="172" t="n">
        <v>12984655</v>
      </c>
      <c r="G397" s="172" t="n">
        <v>0.1771</v>
      </c>
      <c r="H397" s="172" t="n">
        <v>1.7713</v>
      </c>
      <c r="I397" s="172" t="n">
        <v>0</v>
      </c>
      <c r="J397" t="n">
        <v>0</v>
      </c>
      <c r="K397" s="172" t="n">
        <v>20</v>
      </c>
      <c r="L397" t="n">
        <v>1.5403</v>
      </c>
      <c r="M397" s="172" t="n">
        <v>5</v>
      </c>
      <c r="N397" t="n">
        <v>0.3851</v>
      </c>
      <c r="O397" s="172" t="n">
        <v>1</v>
      </c>
      <c r="P397" t="n">
        <v>0.077</v>
      </c>
      <c r="Q397" s="172" t="n">
        <v>21</v>
      </c>
      <c r="R397" s="172" t="n">
        <v>2</v>
      </c>
      <c r="S397" s="172" t="inlineStr">
        <is>
          <t>Census PEP Vintage 2025</t>
        </is>
      </c>
      <c r="T397" s="172" t="inlineStr">
        <is>
          <t>https://www2.census.gov/programs-surveys/popest/datasets/2020-2025/state/totals/NST-EST2025-ALLDATA.csv</t>
        </is>
      </c>
    </row>
    <row r="398">
      <c r="A398" s="172" t="n">
        <v>2022</v>
      </c>
      <c r="B398" t="inlineStr">
        <is>
          <t>RI</t>
        </is>
      </c>
      <c r="C398" t="inlineStr">
        <is>
          <t>44</t>
        </is>
      </c>
      <c r="D398" t="inlineStr">
        <is>
          <t>Rhode Island</t>
        </is>
      </c>
      <c r="E398" s="172" t="n">
        <v>1</v>
      </c>
      <c r="F398" s="172" t="n">
        <v>1098275</v>
      </c>
      <c r="G398" s="172" t="n">
        <v>0.0911</v>
      </c>
      <c r="H398" s="172" t="n">
        <v>0.9105</v>
      </c>
      <c r="I398" s="172" t="n">
        <v>0</v>
      </c>
      <c r="J398" t="n">
        <v>0</v>
      </c>
      <c r="K398" s="172" t="n">
        <v>0</v>
      </c>
      <c r="L398" t="n">
        <v>0</v>
      </c>
      <c r="M398" s="172" t="n">
        <v>0</v>
      </c>
      <c r="N398" t="n">
        <v>0</v>
      </c>
      <c r="O398" s="172" t="n">
        <v>0</v>
      </c>
      <c r="P398" t="n">
        <v>0</v>
      </c>
      <c r="Q398" s="172" t="n">
        <v>1</v>
      </c>
      <c r="R398" s="172" t="n">
        <v>0</v>
      </c>
      <c r="S398" s="172" t="inlineStr">
        <is>
          <t>Census PEP Vintage 2025</t>
        </is>
      </c>
      <c r="T398" s="172" t="inlineStr">
        <is>
          <t>https://www2.census.gov/programs-surveys/popest/datasets/2020-2025/state/totals/NST-EST2025-ALLDATA.csv</t>
        </is>
      </c>
    </row>
    <row r="399">
      <c r="A399" s="172" t="n">
        <v>2022</v>
      </c>
      <c r="B399" t="inlineStr">
        <is>
          <t>SC</t>
        </is>
      </c>
      <c r="C399" t="inlineStr">
        <is>
          <t>45</t>
        </is>
      </c>
      <c r="D399" t="inlineStr">
        <is>
          <t>South Carolina</t>
        </is>
      </c>
      <c r="E399" s="172" t="n">
        <v>21</v>
      </c>
      <c r="F399" s="172" t="n">
        <v>5288957</v>
      </c>
      <c r="G399" s="172" t="n">
        <v>0.3971</v>
      </c>
      <c r="H399" s="172" t="n">
        <v>3.9705</v>
      </c>
      <c r="I399" s="172" t="n">
        <v>2</v>
      </c>
      <c r="J399" t="n">
        <v>0.3781</v>
      </c>
      <c r="K399" s="172" t="n">
        <v>9</v>
      </c>
      <c r="L399" t="n">
        <v>1.7017</v>
      </c>
      <c r="M399" s="172" t="n">
        <v>4</v>
      </c>
      <c r="N399" t="n">
        <v>0.7563</v>
      </c>
      <c r="O399" s="172" t="n">
        <v>4</v>
      </c>
      <c r="P399" t="n">
        <v>0.7563</v>
      </c>
      <c r="Q399" s="172" t="n">
        <v>20</v>
      </c>
      <c r="R399" s="172" t="n">
        <v>1</v>
      </c>
      <c r="S399" s="172" t="inlineStr">
        <is>
          <t>Census PEP Vintage 2025</t>
        </is>
      </c>
      <c r="T399" s="172" t="inlineStr">
        <is>
          <t>https://www2.census.gov/programs-surveys/popest/datasets/2020-2025/state/totals/NST-EST2025-ALLDATA.csv</t>
        </is>
      </c>
    </row>
    <row r="400">
      <c r="A400" s="172" t="n">
        <v>2022</v>
      </c>
      <c r="B400" t="inlineStr">
        <is>
          <t>SD</t>
        </is>
      </c>
      <c r="C400" t="inlineStr">
        <is>
          <t>46</t>
        </is>
      </c>
      <c r="D400" t="inlineStr">
        <is>
          <t>South Dakota</t>
        </is>
      </c>
      <c r="E400" s="172" t="n">
        <v>7</v>
      </c>
      <c r="F400" s="172" t="n">
        <v>909156</v>
      </c>
      <c r="G400" s="172" t="n">
        <v>0.7699</v>
      </c>
      <c r="H400" s="172" t="n">
        <v>7.6994</v>
      </c>
      <c r="I400" s="172" t="n">
        <v>0</v>
      </c>
      <c r="J400" t="n">
        <v>0</v>
      </c>
      <c r="K400" s="172" t="n">
        <v>5</v>
      </c>
      <c r="L400" t="n">
        <v>5.4996</v>
      </c>
      <c r="M400" s="172" t="n">
        <v>4</v>
      </c>
      <c r="N400" t="n">
        <v>4.3997</v>
      </c>
      <c r="O400" s="172" t="n">
        <v>4</v>
      </c>
      <c r="P400" t="n">
        <v>4.3997</v>
      </c>
      <c r="Q400" s="172" t="n">
        <v>6</v>
      </c>
      <c r="R400" s="172" t="n">
        <v>1</v>
      </c>
      <c r="S400" s="172" t="inlineStr">
        <is>
          <t>Census PEP Vintage 2025</t>
        </is>
      </c>
      <c r="T400" s="172" t="inlineStr">
        <is>
          <t>https://www2.census.gov/programs-surveys/popest/datasets/2020-2025/state/totals/NST-EST2025-ALLDATA.csv</t>
        </is>
      </c>
    </row>
    <row r="401">
      <c r="A401" s="172" t="n">
        <v>2022</v>
      </c>
      <c r="B401" t="inlineStr">
        <is>
          <t>TN</t>
        </is>
      </c>
      <c r="C401" t="inlineStr">
        <is>
          <t>47</t>
        </is>
      </c>
      <c r="D401" t="inlineStr">
        <is>
          <t>Tennessee</t>
        </is>
      </c>
      <c r="E401" s="172" t="n">
        <v>30</v>
      </c>
      <c r="F401" s="172" t="n">
        <v>7063325</v>
      </c>
      <c r="G401" s="172" t="n">
        <v>0.4247</v>
      </c>
      <c r="H401" s="172" t="n">
        <v>4.2473</v>
      </c>
      <c r="I401" s="172" t="n">
        <v>1</v>
      </c>
      <c r="J401" t="n">
        <v>0.1416</v>
      </c>
      <c r="K401" s="172" t="n">
        <v>20</v>
      </c>
      <c r="L401" t="n">
        <v>2.8315</v>
      </c>
      <c r="M401" s="172" t="n">
        <v>4</v>
      </c>
      <c r="N401" t="n">
        <v>0.5663</v>
      </c>
      <c r="O401" s="172" t="n">
        <v>3</v>
      </c>
      <c r="P401" t="n">
        <v>0.4247</v>
      </c>
      <c r="Q401" s="172" t="n">
        <v>30</v>
      </c>
      <c r="R401" s="172" t="n">
        <v>0</v>
      </c>
      <c r="S401" s="172" t="inlineStr">
        <is>
          <t>Census PEP Vintage 2025</t>
        </is>
      </c>
      <c r="T401" s="172" t="inlineStr">
        <is>
          <t>https://www2.census.gov/programs-surveys/popest/datasets/2020-2025/state/totals/NST-EST2025-ALLDATA.csv</t>
        </is>
      </c>
    </row>
    <row r="402">
      <c r="A402" s="172" t="n">
        <v>2022</v>
      </c>
      <c r="B402" t="inlineStr">
        <is>
          <t>TX</t>
        </is>
      </c>
      <c r="C402" t="inlineStr">
        <is>
          <t>48</t>
        </is>
      </c>
      <c r="D402" t="inlineStr">
        <is>
          <t>Texas</t>
        </is>
      </c>
      <c r="E402" s="172" t="n">
        <v>118</v>
      </c>
      <c r="F402" s="172" t="n">
        <v>30118002</v>
      </c>
      <c r="G402" s="172" t="n">
        <v>0.3918</v>
      </c>
      <c r="H402" s="172" t="n">
        <v>3.9179</v>
      </c>
      <c r="I402" s="172" t="n">
        <v>6</v>
      </c>
      <c r="J402" t="n">
        <v>0.1992</v>
      </c>
      <c r="K402" s="172" t="n">
        <v>84</v>
      </c>
      <c r="L402" t="n">
        <v>2.789</v>
      </c>
      <c r="M402" s="172" t="n">
        <v>13</v>
      </c>
      <c r="N402" t="n">
        <v>0.4316</v>
      </c>
      <c r="O402" s="172" t="n">
        <v>21</v>
      </c>
      <c r="P402" t="n">
        <v>0.6973</v>
      </c>
      <c r="Q402" s="172" t="n">
        <v>115</v>
      </c>
      <c r="R402" s="172" t="n">
        <v>3</v>
      </c>
      <c r="S402" s="172" t="inlineStr">
        <is>
          <t>Census PEP Vintage 2025</t>
        </is>
      </c>
      <c r="T402" s="172" t="inlineStr">
        <is>
          <t>https://www2.census.gov/programs-surveys/popest/datasets/2020-2025/state/totals/NST-EST2025-ALLDATA.csv</t>
        </is>
      </c>
    </row>
    <row r="403">
      <c r="A403" s="172" t="n">
        <v>2022</v>
      </c>
      <c r="B403" t="inlineStr">
        <is>
          <t>UT</t>
        </is>
      </c>
      <c r="C403" t="inlineStr">
        <is>
          <t>49</t>
        </is>
      </c>
      <c r="D403" t="inlineStr">
        <is>
          <t>Utah</t>
        </is>
      </c>
      <c r="E403" s="172" t="n">
        <v>11</v>
      </c>
      <c r="F403" s="172" t="n">
        <v>3393928</v>
      </c>
      <c r="G403" s="172" t="n">
        <v>0.3241</v>
      </c>
      <c r="H403" s="172" t="n">
        <v>3.2411</v>
      </c>
      <c r="I403" s="172" t="n">
        <v>0</v>
      </c>
      <c r="J403" t="n">
        <v>0</v>
      </c>
      <c r="K403" s="172" t="n">
        <v>6</v>
      </c>
      <c r="L403" t="n">
        <v>1.7679</v>
      </c>
      <c r="M403" s="172" t="n">
        <v>3</v>
      </c>
      <c r="N403" t="n">
        <v>0.8839</v>
      </c>
      <c r="O403" s="172" t="n">
        <v>2</v>
      </c>
      <c r="P403" t="n">
        <v>0.5893</v>
      </c>
      <c r="Q403" s="172" t="n">
        <v>9</v>
      </c>
      <c r="R403" s="172" t="n">
        <v>2</v>
      </c>
      <c r="S403" s="172" t="inlineStr">
        <is>
          <t>Census PEP Vintage 2025</t>
        </is>
      </c>
      <c r="T403" s="172" t="inlineStr">
        <is>
          <t>https://www2.census.gov/programs-surveys/popest/datasets/2020-2025/state/totals/NST-EST2025-ALLDATA.csv</t>
        </is>
      </c>
    </row>
    <row r="404">
      <c r="A404" s="172" t="n">
        <v>2022</v>
      </c>
      <c r="B404" t="inlineStr">
        <is>
          <t>VA</t>
        </is>
      </c>
      <c r="C404" t="inlineStr">
        <is>
          <t>51</t>
        </is>
      </c>
      <c r="D404" t="inlineStr">
        <is>
          <t>Virginia</t>
        </is>
      </c>
      <c r="E404" s="172" t="n">
        <v>24</v>
      </c>
      <c r="F404" s="172" t="n">
        <v>8681038</v>
      </c>
      <c r="G404" s="172" t="n">
        <v>0.2765</v>
      </c>
      <c r="H404" s="172" t="n">
        <v>2.7646</v>
      </c>
      <c r="I404" s="172" t="n">
        <v>0</v>
      </c>
      <c r="J404" t="n">
        <v>0</v>
      </c>
      <c r="K404" s="172" t="n">
        <v>18</v>
      </c>
      <c r="L404" t="n">
        <v>2.0735</v>
      </c>
      <c r="M404" s="172" t="n">
        <v>3</v>
      </c>
      <c r="N404" t="n">
        <v>0.3456</v>
      </c>
      <c r="O404" s="172" t="n">
        <v>6</v>
      </c>
      <c r="P404" t="n">
        <v>0.6912</v>
      </c>
      <c r="Q404" s="172" t="n">
        <v>22</v>
      </c>
      <c r="R404" s="172" t="n">
        <v>2</v>
      </c>
      <c r="S404" s="172" t="inlineStr">
        <is>
          <t>Census PEP Vintage 2025</t>
        </is>
      </c>
      <c r="T404" s="172" t="inlineStr">
        <is>
          <t>https://www2.census.gov/programs-surveys/popest/datasets/2020-2025/state/totals/NST-EST2025-ALLDATA.csv</t>
        </is>
      </c>
    </row>
    <row r="405">
      <c r="A405" s="172" t="n">
        <v>2022</v>
      </c>
      <c r="B405" t="inlineStr">
        <is>
          <t>VT</t>
        </is>
      </c>
      <c r="C405" t="inlineStr">
        <is>
          <t>50</t>
        </is>
      </c>
      <c r="D405" t="inlineStr">
        <is>
          <t>Vermont</t>
        </is>
      </c>
      <c r="E405" s="172" t="n">
        <v>2</v>
      </c>
      <c r="F405" s="172" t="n">
        <v>647614</v>
      </c>
      <c r="G405" s="172" t="n">
        <v>0.3088</v>
      </c>
      <c r="H405" s="172" t="n">
        <v>3.0883</v>
      </c>
      <c r="I405" s="172" t="n">
        <v>0</v>
      </c>
      <c r="J405" t="n">
        <v>0</v>
      </c>
      <c r="K405" s="172" t="n">
        <v>1</v>
      </c>
      <c r="L405" t="n">
        <v>1.5441</v>
      </c>
      <c r="M405" s="172" t="n">
        <v>1</v>
      </c>
      <c r="N405" t="n">
        <v>1.5441</v>
      </c>
      <c r="O405" s="172" t="n">
        <v>0</v>
      </c>
      <c r="P405" t="n">
        <v>0</v>
      </c>
      <c r="Q405" s="172" t="n">
        <v>2</v>
      </c>
      <c r="R405" s="172" t="n">
        <v>0</v>
      </c>
      <c r="S405" s="172" t="inlineStr">
        <is>
          <t>Census PEP Vintage 2025</t>
        </is>
      </c>
      <c r="T405" s="172" t="inlineStr">
        <is>
          <t>https://www2.census.gov/programs-surveys/popest/datasets/2020-2025/state/totals/NST-EST2025-ALLDATA.csv</t>
        </is>
      </c>
    </row>
    <row r="406">
      <c r="A406" s="172" t="n">
        <v>2022</v>
      </c>
      <c r="B406" t="inlineStr">
        <is>
          <t>WA</t>
        </is>
      </c>
      <c r="C406" t="inlineStr">
        <is>
          <t>53</t>
        </is>
      </c>
      <c r="D406" t="inlineStr">
        <is>
          <t>Washington</t>
        </is>
      </c>
      <c r="E406" s="172" t="n">
        <v>39</v>
      </c>
      <c r="F406" s="172" t="n">
        <v>7786828</v>
      </c>
      <c r="G406" s="172" t="n">
        <v>0.5008</v>
      </c>
      <c r="H406" s="172" t="n">
        <v>5.0085</v>
      </c>
      <c r="I406" s="172" t="n">
        <v>0</v>
      </c>
      <c r="J406" t="n">
        <v>0</v>
      </c>
      <c r="K406" s="172" t="n">
        <v>20</v>
      </c>
      <c r="L406" t="n">
        <v>2.5684</v>
      </c>
      <c r="M406" s="172" t="n">
        <v>3</v>
      </c>
      <c r="N406" t="n">
        <v>0.3853</v>
      </c>
      <c r="O406" s="172" t="n">
        <v>7</v>
      </c>
      <c r="P406" t="n">
        <v>0.899</v>
      </c>
      <c r="Q406" s="172" t="n">
        <v>25</v>
      </c>
      <c r="R406" s="172" t="n">
        <v>14</v>
      </c>
      <c r="S406" s="172" t="inlineStr">
        <is>
          <t>Census PEP Vintage 2025</t>
        </is>
      </c>
      <c r="T406" s="172" t="inlineStr">
        <is>
          <t>https://www2.census.gov/programs-surveys/popest/datasets/2020-2025/state/totals/NST-EST2025-ALLDATA.csv</t>
        </is>
      </c>
    </row>
    <row r="407">
      <c r="A407" s="172" t="n">
        <v>2022</v>
      </c>
      <c r="B407" t="inlineStr">
        <is>
          <t>WI</t>
        </is>
      </c>
      <c r="C407" t="inlineStr">
        <is>
          <t>55</t>
        </is>
      </c>
      <c r="D407" t="inlineStr">
        <is>
          <t>Wisconsin</t>
        </is>
      </c>
      <c r="E407" s="172" t="n">
        <v>12</v>
      </c>
      <c r="F407" s="172" t="n">
        <v>5903472</v>
      </c>
      <c r="G407" s="172" t="n">
        <v>0.2033</v>
      </c>
      <c r="H407" s="172" t="n">
        <v>2.0327</v>
      </c>
      <c r="I407" s="172" t="n">
        <v>0</v>
      </c>
      <c r="J407" t="n">
        <v>0</v>
      </c>
      <c r="K407" s="172" t="n">
        <v>10</v>
      </c>
      <c r="L407" t="n">
        <v>1.6939</v>
      </c>
      <c r="M407" s="172" t="n">
        <v>1</v>
      </c>
      <c r="N407" t="n">
        <v>0.1694</v>
      </c>
      <c r="O407" s="172" t="n">
        <v>4</v>
      </c>
      <c r="P407" t="n">
        <v>0.6776</v>
      </c>
      <c r="Q407" s="172" t="n">
        <v>12</v>
      </c>
      <c r="R407" s="172" t="n">
        <v>0</v>
      </c>
      <c r="S407" s="172" t="inlineStr">
        <is>
          <t>Census PEP Vintage 2025</t>
        </is>
      </c>
      <c r="T407" s="172" t="inlineStr">
        <is>
          <t>https://www2.census.gov/programs-surveys/popest/datasets/2020-2025/state/totals/NST-EST2025-ALLDATA.csv</t>
        </is>
      </c>
    </row>
    <row r="408">
      <c r="A408" s="172" t="n">
        <v>2022</v>
      </c>
      <c r="B408" t="inlineStr">
        <is>
          <t>WV</t>
        </is>
      </c>
      <c r="C408" t="inlineStr">
        <is>
          <t>54</t>
        </is>
      </c>
      <c r="D408" t="inlineStr">
        <is>
          <t>West Virginia</t>
        </is>
      </c>
      <c r="E408" s="172" t="n">
        <v>12</v>
      </c>
      <c r="F408" s="172" t="n">
        <v>1774003</v>
      </c>
      <c r="G408" s="172" t="n">
        <v>0.6764</v>
      </c>
      <c r="H408" s="172" t="n">
        <v>6.7644</v>
      </c>
      <c r="I408" s="172" t="n">
        <v>0</v>
      </c>
      <c r="J408" t="n">
        <v>0</v>
      </c>
      <c r="K408" s="172" t="n">
        <v>10</v>
      </c>
      <c r="L408" t="n">
        <v>5.637</v>
      </c>
      <c r="M408" s="172" t="n">
        <v>2</v>
      </c>
      <c r="N408" t="n">
        <v>1.1274</v>
      </c>
      <c r="O408" s="172" t="n">
        <v>0</v>
      </c>
      <c r="P408" t="n">
        <v>0</v>
      </c>
      <c r="Q408" s="172" t="n">
        <v>8</v>
      </c>
      <c r="R408" s="172" t="n">
        <v>4</v>
      </c>
      <c r="S408" s="172" t="inlineStr">
        <is>
          <t>Census PEP Vintage 2025</t>
        </is>
      </c>
      <c r="T408" s="172" t="inlineStr">
        <is>
          <t>https://www2.census.gov/programs-surveys/popest/datasets/2020-2025/state/totals/NST-EST2025-ALLDATA.csv</t>
        </is>
      </c>
    </row>
    <row r="409">
      <c r="A409" s="172" t="n">
        <v>2022</v>
      </c>
      <c r="B409" t="inlineStr">
        <is>
          <t>WY</t>
        </is>
      </c>
      <c r="C409" t="inlineStr">
        <is>
          <t>56</t>
        </is>
      </c>
      <c r="D409" t="inlineStr">
        <is>
          <t>Wyoming</t>
        </is>
      </c>
      <c r="E409" s="172" t="n">
        <v>10</v>
      </c>
      <c r="F409" s="172" t="n">
        <v>581742</v>
      </c>
      <c r="G409" s="172" t="n">
        <v>1.719</v>
      </c>
      <c r="H409" s="172" t="n">
        <v>17.1898</v>
      </c>
      <c r="I409" s="172" t="n">
        <v>0</v>
      </c>
      <c r="J409" t="n">
        <v>0</v>
      </c>
      <c r="K409" s="172" t="n">
        <v>8</v>
      </c>
      <c r="L409" t="n">
        <v>13.7518</v>
      </c>
      <c r="M409" s="172" t="n">
        <v>0</v>
      </c>
      <c r="N409" t="n">
        <v>0</v>
      </c>
      <c r="O409" s="172" t="n">
        <v>0</v>
      </c>
      <c r="P409" t="n">
        <v>0</v>
      </c>
      <c r="Q409" s="172" t="n">
        <v>8</v>
      </c>
      <c r="R409" s="172" t="n">
        <v>2</v>
      </c>
      <c r="S409" s="172" t="inlineStr">
        <is>
          <t>Census PEP Vintage 2025</t>
        </is>
      </c>
      <c r="T409" s="172" t="inlineStr">
        <is>
          <t>https://www2.census.gov/programs-surveys/popest/datasets/2020-2025/state/totals/NST-EST2025-ALLDATA.csv</t>
        </is>
      </c>
    </row>
    <row r="410">
      <c r="A410" s="172" t="n">
        <v>2023</v>
      </c>
      <c r="B410" t="inlineStr">
        <is>
          <t>AK</t>
        </is>
      </c>
      <c r="C410" t="inlineStr">
        <is>
          <t>02</t>
        </is>
      </c>
      <c r="D410" t="inlineStr">
        <is>
          <t>Alaska</t>
        </is>
      </c>
      <c r="E410" s="172" t="n">
        <v>6</v>
      </c>
      <c r="F410" s="172" t="n">
        <v>734654</v>
      </c>
      <c r="G410" s="172" t="n">
        <v>0.8167</v>
      </c>
      <c r="H410" s="172" t="n">
        <v>8.1671</v>
      </c>
      <c r="I410" s="172" t="n">
        <v>0</v>
      </c>
      <c r="J410" t="n">
        <v>0</v>
      </c>
      <c r="K410" s="172" t="n">
        <v>6</v>
      </c>
      <c r="L410" t="n">
        <v>8.1671</v>
      </c>
      <c r="M410" s="172" t="n">
        <v>0</v>
      </c>
      <c r="N410" t="n">
        <v>0</v>
      </c>
      <c r="O410" s="172" t="n">
        <v>0</v>
      </c>
      <c r="P410" t="n">
        <v>0</v>
      </c>
      <c r="Q410" s="172" t="n">
        <v>2</v>
      </c>
      <c r="R410" s="172" t="n">
        <v>4</v>
      </c>
      <c r="S410" s="172" t="inlineStr">
        <is>
          <t>Census PEP Vintage 2025</t>
        </is>
      </c>
      <c r="T410" s="172" t="inlineStr">
        <is>
          <t>https://www2.census.gov/programs-surveys/popest/datasets/2020-2025/state/totals/NST-EST2025-ALLDATA.csv</t>
        </is>
      </c>
    </row>
    <row r="411">
      <c r="A411" s="172" t="n">
        <v>2023</v>
      </c>
      <c r="B411" t="inlineStr">
        <is>
          <t>AL</t>
        </is>
      </c>
      <c r="C411" t="inlineStr">
        <is>
          <t>01</t>
        </is>
      </c>
      <c r="D411" t="inlineStr">
        <is>
          <t>Alabama</t>
        </is>
      </c>
      <c r="E411" s="172" t="n">
        <v>29</v>
      </c>
      <c r="F411" s="172" t="n">
        <v>5117850</v>
      </c>
      <c r="G411" s="172" t="n">
        <v>0.5666</v>
      </c>
      <c r="H411" s="172" t="n">
        <v>5.6664</v>
      </c>
      <c r="I411" s="172" t="n">
        <v>0</v>
      </c>
      <c r="J411" t="n">
        <v>0</v>
      </c>
      <c r="K411" s="172" t="n">
        <v>22</v>
      </c>
      <c r="L411" t="n">
        <v>4.2987</v>
      </c>
      <c r="M411" s="172" t="n">
        <v>5</v>
      </c>
      <c r="N411" t="n">
        <v>0.977</v>
      </c>
      <c r="O411" s="172" t="n">
        <v>4</v>
      </c>
      <c r="P411" t="n">
        <v>0.7816</v>
      </c>
      <c r="Q411" s="172" t="n">
        <v>26</v>
      </c>
      <c r="R411" s="172" t="n">
        <v>3</v>
      </c>
      <c r="S411" s="172" t="inlineStr">
        <is>
          <t>Census PEP Vintage 2025</t>
        </is>
      </c>
      <c r="T411" s="172" t="inlineStr">
        <is>
          <t>https://www2.census.gov/programs-surveys/popest/datasets/2020-2025/state/totals/NST-EST2025-ALLDATA.csv</t>
        </is>
      </c>
    </row>
    <row r="412">
      <c r="A412" s="172" t="n">
        <v>2023</v>
      </c>
      <c r="B412" t="inlineStr">
        <is>
          <t>AR</t>
        </is>
      </c>
      <c r="C412" t="inlineStr">
        <is>
          <t>05</t>
        </is>
      </c>
      <c r="D412" t="inlineStr">
        <is>
          <t>Arkansas</t>
        </is>
      </c>
      <c r="E412" s="172" t="n">
        <v>13</v>
      </c>
      <c r="F412" s="172" t="n">
        <v>3069856</v>
      </c>
      <c r="G412" s="172" t="n">
        <v>0.4235</v>
      </c>
      <c r="H412" s="172" t="n">
        <v>4.2347</v>
      </c>
      <c r="I412" s="172" t="n">
        <v>1</v>
      </c>
      <c r="J412" t="n">
        <v>0.3257</v>
      </c>
      <c r="K412" s="172" t="n">
        <v>8</v>
      </c>
      <c r="L412" t="n">
        <v>2.606</v>
      </c>
      <c r="M412" s="172" t="n">
        <v>2</v>
      </c>
      <c r="N412" t="n">
        <v>0.6515</v>
      </c>
      <c r="O412" s="172" t="n">
        <v>1</v>
      </c>
      <c r="P412" t="n">
        <v>0.3257</v>
      </c>
      <c r="Q412" s="172" t="n">
        <v>11</v>
      </c>
      <c r="R412" s="172" t="n">
        <v>2</v>
      </c>
      <c r="S412" s="172" t="inlineStr">
        <is>
          <t>Census PEP Vintage 2025</t>
        </is>
      </c>
      <c r="T412" s="172" t="inlineStr">
        <is>
          <t>https://www2.census.gov/programs-surveys/popest/datasets/2020-2025/state/totals/NST-EST2025-ALLDATA.csv</t>
        </is>
      </c>
    </row>
    <row r="413">
      <c r="A413" s="172" t="n">
        <v>2023</v>
      </c>
      <c r="B413" t="inlineStr">
        <is>
          <t>AZ</t>
        </is>
      </c>
      <c r="C413" t="inlineStr">
        <is>
          <t>04</t>
        </is>
      </c>
      <c r="D413" t="inlineStr">
        <is>
          <t>Arizona</t>
        </is>
      </c>
      <c r="E413" s="172" t="n">
        <v>48</v>
      </c>
      <c r="F413" s="172" t="n">
        <v>7452073</v>
      </c>
      <c r="G413" s="172" t="n">
        <v>0.6441</v>
      </c>
      <c r="H413" s="172" t="n">
        <v>6.4412</v>
      </c>
      <c r="I413" s="172" t="n">
        <v>1</v>
      </c>
      <c r="J413" t="n">
        <v>0.1342</v>
      </c>
      <c r="K413" s="172" t="n">
        <v>28</v>
      </c>
      <c r="L413" t="n">
        <v>3.7573</v>
      </c>
      <c r="M413" s="172" t="n">
        <v>4</v>
      </c>
      <c r="N413" t="n">
        <v>0.5368000000000001</v>
      </c>
      <c r="O413" s="172" t="n">
        <v>14</v>
      </c>
      <c r="P413" t="n">
        <v>1.8787</v>
      </c>
      <c r="Q413" s="172" t="n">
        <v>39</v>
      </c>
      <c r="R413" s="172" t="n">
        <v>9</v>
      </c>
      <c r="S413" s="172" t="inlineStr">
        <is>
          <t>Census PEP Vintage 2025</t>
        </is>
      </c>
      <c r="T413" s="172" t="inlineStr">
        <is>
          <t>https://www2.census.gov/programs-surveys/popest/datasets/2020-2025/state/totals/NST-EST2025-ALLDATA.csv</t>
        </is>
      </c>
    </row>
    <row r="414">
      <c r="A414" s="172" t="n">
        <v>2023</v>
      </c>
      <c r="B414" t="inlineStr">
        <is>
          <t>CA</t>
        </is>
      </c>
      <c r="C414" t="inlineStr">
        <is>
          <t>06</t>
        </is>
      </c>
      <c r="D414" t="inlineStr">
        <is>
          <t>California</t>
        </is>
      </c>
      <c r="E414" s="172" t="n">
        <v>137</v>
      </c>
      <c r="F414" s="172" t="n">
        <v>39181667</v>
      </c>
      <c r="G414" s="172" t="n">
        <v>0.3497</v>
      </c>
      <c r="H414" s="172" t="n">
        <v>3.4965</v>
      </c>
      <c r="I414" s="172" t="n">
        <v>11</v>
      </c>
      <c r="J414" t="n">
        <v>0.2807</v>
      </c>
      <c r="K414" s="172" t="n">
        <v>59</v>
      </c>
      <c r="L414" t="n">
        <v>1.5058</v>
      </c>
      <c r="M414" s="172" t="n">
        <v>20</v>
      </c>
      <c r="N414" t="n">
        <v>0.5104</v>
      </c>
      <c r="O414" s="172" t="n">
        <v>51</v>
      </c>
      <c r="P414" t="n">
        <v>1.3016</v>
      </c>
      <c r="Q414" s="172" t="n">
        <v>101</v>
      </c>
      <c r="R414" s="172" t="n">
        <v>36</v>
      </c>
      <c r="S414" s="172" t="inlineStr">
        <is>
          <t>Census PEP Vintage 2025</t>
        </is>
      </c>
      <c r="T414" s="172" t="inlineStr">
        <is>
          <t>https://www2.census.gov/programs-surveys/popest/datasets/2020-2025/state/totals/NST-EST2025-ALLDATA.csv</t>
        </is>
      </c>
    </row>
    <row r="415">
      <c r="A415" s="172" t="n">
        <v>2023</v>
      </c>
      <c r="B415" t="inlineStr">
        <is>
          <t>CO</t>
        </is>
      </c>
      <c r="C415" t="inlineStr">
        <is>
          <t>08</t>
        </is>
      </c>
      <c r="D415" t="inlineStr">
        <is>
          <t>Colorado</t>
        </is>
      </c>
      <c r="E415" s="172" t="n">
        <v>41</v>
      </c>
      <c r="F415" s="172" t="n">
        <v>5912240</v>
      </c>
      <c r="G415" s="172" t="n">
        <v>0.6935</v>
      </c>
      <c r="H415" s="172" t="n">
        <v>6.9348</v>
      </c>
      <c r="I415" s="172" t="n">
        <v>3</v>
      </c>
      <c r="J415" t="n">
        <v>0.5074</v>
      </c>
      <c r="K415" s="172" t="n">
        <v>29</v>
      </c>
      <c r="L415" t="n">
        <v>4.9051</v>
      </c>
      <c r="M415" s="172" t="n">
        <v>3</v>
      </c>
      <c r="N415" t="n">
        <v>0.5074</v>
      </c>
      <c r="O415" s="172" t="n">
        <v>20</v>
      </c>
      <c r="P415" t="n">
        <v>3.3828</v>
      </c>
      <c r="Q415" s="172" t="n">
        <v>30</v>
      </c>
      <c r="R415" s="172" t="n">
        <v>11</v>
      </c>
      <c r="S415" s="172" t="inlineStr">
        <is>
          <t>Census PEP Vintage 2025</t>
        </is>
      </c>
      <c r="T415" s="172" t="inlineStr">
        <is>
          <t>https://www2.census.gov/programs-surveys/popest/datasets/2020-2025/state/totals/NST-EST2025-ALLDATA.csv</t>
        </is>
      </c>
    </row>
    <row r="416">
      <c r="A416" s="172" t="n">
        <v>2023</v>
      </c>
      <c r="B416" t="inlineStr">
        <is>
          <t>CT</t>
        </is>
      </c>
      <c r="C416" t="inlineStr">
        <is>
          <t>09</t>
        </is>
      </c>
      <c r="D416" t="inlineStr">
        <is>
          <t>Connecticut</t>
        </is>
      </c>
      <c r="E416" s="172" t="n">
        <v>6</v>
      </c>
      <c r="F416" s="172" t="n">
        <v>3641369</v>
      </c>
      <c r="G416" s="172" t="n">
        <v>0.1648</v>
      </c>
      <c r="H416" s="172" t="n">
        <v>1.6477</v>
      </c>
      <c r="I416" s="172" t="n">
        <v>1</v>
      </c>
      <c r="J416" t="n">
        <v>0.2746</v>
      </c>
      <c r="K416" s="172" t="n">
        <v>3</v>
      </c>
      <c r="L416" t="n">
        <v>0.8239</v>
      </c>
      <c r="M416" s="172" t="n">
        <v>0</v>
      </c>
      <c r="N416" t="n">
        <v>0</v>
      </c>
      <c r="O416" s="172" t="n">
        <v>5</v>
      </c>
      <c r="P416" t="n">
        <v>1.3731</v>
      </c>
      <c r="Q416" s="172" t="n">
        <v>5</v>
      </c>
      <c r="R416" s="172" t="n">
        <v>1</v>
      </c>
      <c r="S416" s="172" t="inlineStr">
        <is>
          <t>Census PEP Vintage 2025</t>
        </is>
      </c>
      <c r="T416" s="172" t="inlineStr">
        <is>
          <t>https://www2.census.gov/programs-surveys/popest/datasets/2020-2025/state/totals/NST-EST2025-ALLDATA.csv</t>
        </is>
      </c>
    </row>
    <row r="417">
      <c r="A417" s="172" t="n">
        <v>2023</v>
      </c>
      <c r="B417" t="inlineStr">
        <is>
          <t>DC</t>
        </is>
      </c>
      <c r="C417" t="inlineStr">
        <is>
          <t>11</t>
        </is>
      </c>
      <c r="D417" t="inlineStr">
        <is>
          <t>District of Columbia</t>
        </is>
      </c>
      <c r="E417" s="172" t="n">
        <v>4</v>
      </c>
      <c r="F417" s="172" t="n">
        <v>682559</v>
      </c>
      <c r="G417" s="172" t="n">
        <v>0.586</v>
      </c>
      <c r="H417" s="172" t="n">
        <v>5.8603</v>
      </c>
      <c r="I417" s="172" t="n">
        <v>0</v>
      </c>
      <c r="J417" t="n">
        <v>0</v>
      </c>
      <c r="K417" s="172" t="n">
        <v>3</v>
      </c>
      <c r="L417" t="n">
        <v>4.3952</v>
      </c>
      <c r="M417" s="172" t="n">
        <v>0</v>
      </c>
      <c r="N417" t="n">
        <v>0</v>
      </c>
      <c r="O417" s="172" t="n">
        <v>2</v>
      </c>
      <c r="P417" t="n">
        <v>2.9301</v>
      </c>
      <c r="Q417" s="172" t="n">
        <v>4</v>
      </c>
      <c r="R417" s="172" t="n">
        <v>0</v>
      </c>
      <c r="S417" s="172" t="inlineStr">
        <is>
          <t>Census PEP Vintage 2025</t>
        </is>
      </c>
      <c r="T417" s="172" t="inlineStr">
        <is>
          <t>https://www2.census.gov/programs-surveys/popest/datasets/2020-2025/state/totals/NST-EST2025-ALLDATA.csv</t>
        </is>
      </c>
    </row>
    <row r="418">
      <c r="A418" s="172" t="n">
        <v>2023</v>
      </c>
      <c r="B418" t="inlineStr">
        <is>
          <t>DE</t>
        </is>
      </c>
      <c r="C418" t="inlineStr">
        <is>
          <t>10</t>
        </is>
      </c>
      <c r="D418" t="inlineStr">
        <is>
          <t>Delaware</t>
        </is>
      </c>
      <c r="E418" s="172" t="n">
        <v>2</v>
      </c>
      <c r="F418" s="172" t="n">
        <v>1035354</v>
      </c>
      <c r="G418" s="172" t="n">
        <v>0.1932</v>
      </c>
      <c r="H418" s="172" t="n">
        <v>1.9317</v>
      </c>
      <c r="I418" s="172" t="n">
        <v>0</v>
      </c>
      <c r="J418" t="n">
        <v>0</v>
      </c>
      <c r="K418" s="172" t="n">
        <v>0</v>
      </c>
      <c r="L418" t="n">
        <v>0</v>
      </c>
      <c r="M418" s="172" t="n">
        <v>0</v>
      </c>
      <c r="N418" t="n">
        <v>0</v>
      </c>
      <c r="O418" s="172" t="n">
        <v>1</v>
      </c>
      <c r="P418" t="n">
        <v>0.9659</v>
      </c>
      <c r="Q418" s="172" t="n">
        <v>2</v>
      </c>
      <c r="R418" s="172" t="n">
        <v>0</v>
      </c>
      <c r="S418" s="172" t="inlineStr">
        <is>
          <t>Census PEP Vintage 2025</t>
        </is>
      </c>
      <c r="T418" s="172" t="inlineStr">
        <is>
          <t>https://www2.census.gov/programs-surveys/popest/datasets/2020-2025/state/totals/NST-EST2025-ALLDATA.csv</t>
        </is>
      </c>
    </row>
    <row r="419">
      <c r="A419" s="172" t="n">
        <v>2023</v>
      </c>
      <c r="B419" t="inlineStr">
        <is>
          <t>FL</t>
        </is>
      </c>
      <c r="C419" t="inlineStr">
        <is>
          <t>12</t>
        </is>
      </c>
      <c r="D419" t="inlineStr">
        <is>
          <t>Florida</t>
        </is>
      </c>
      <c r="E419" s="172" t="n">
        <v>81</v>
      </c>
      <c r="F419" s="172" t="n">
        <v>22929248</v>
      </c>
      <c r="G419" s="172" t="n">
        <v>0.3533</v>
      </c>
      <c r="H419" s="172" t="n">
        <v>3.5326</v>
      </c>
      <c r="I419" s="172" t="n">
        <v>2</v>
      </c>
      <c r="J419" t="n">
        <v>0.0872</v>
      </c>
      <c r="K419" s="172" t="n">
        <v>57</v>
      </c>
      <c r="L419" t="n">
        <v>2.4859</v>
      </c>
      <c r="M419" s="172" t="n">
        <v>16</v>
      </c>
      <c r="N419" t="n">
        <v>0.6978</v>
      </c>
      <c r="O419" s="172" t="n">
        <v>18</v>
      </c>
      <c r="P419" t="n">
        <v>0.785</v>
      </c>
      <c r="Q419" s="172" t="n">
        <v>70</v>
      </c>
      <c r="R419" s="172" t="n">
        <v>11</v>
      </c>
      <c r="S419" s="172" t="inlineStr">
        <is>
          <t>Census PEP Vintage 2025</t>
        </is>
      </c>
      <c r="T419" s="172" t="inlineStr">
        <is>
          <t>https://www2.census.gov/programs-surveys/popest/datasets/2020-2025/state/totals/NST-EST2025-ALLDATA.csv</t>
        </is>
      </c>
    </row>
    <row r="420">
      <c r="A420" s="172" t="n">
        <v>2023</v>
      </c>
      <c r="B420" t="inlineStr">
        <is>
          <t>GA</t>
        </is>
      </c>
      <c r="C420" t="inlineStr">
        <is>
          <t>13</t>
        </is>
      </c>
      <c r="D420" t="inlineStr">
        <is>
          <t>Georgia</t>
        </is>
      </c>
      <c r="E420" s="172" t="n">
        <v>49</v>
      </c>
      <c r="F420" s="172" t="n">
        <v>11063669</v>
      </c>
      <c r="G420" s="172" t="n">
        <v>0.4429</v>
      </c>
      <c r="H420" s="172" t="n">
        <v>4.4289</v>
      </c>
      <c r="I420" s="172" t="n">
        <v>3</v>
      </c>
      <c r="J420" t="n">
        <v>0.2712</v>
      </c>
      <c r="K420" s="172" t="n">
        <v>37</v>
      </c>
      <c r="L420" t="n">
        <v>3.3443</v>
      </c>
      <c r="M420" s="172" t="n">
        <v>4</v>
      </c>
      <c r="N420" t="n">
        <v>0.3615</v>
      </c>
      <c r="O420" s="172" t="n">
        <v>4</v>
      </c>
      <c r="P420" t="n">
        <v>0.3615</v>
      </c>
      <c r="Q420" s="172" t="n">
        <v>37</v>
      </c>
      <c r="R420" s="172" t="n">
        <v>12</v>
      </c>
      <c r="S420" s="172" t="inlineStr">
        <is>
          <t>Census PEP Vintage 2025</t>
        </is>
      </c>
      <c r="T420" s="172" t="inlineStr">
        <is>
          <t>https://www2.census.gov/programs-surveys/popest/datasets/2020-2025/state/totals/NST-EST2025-ALLDATA.csv</t>
        </is>
      </c>
    </row>
    <row r="421">
      <c r="A421" s="172" t="n">
        <v>2023</v>
      </c>
      <c r="B421" t="inlineStr">
        <is>
          <t>HI</t>
        </is>
      </c>
      <c r="C421" t="inlineStr">
        <is>
          <t>15</t>
        </is>
      </c>
      <c r="D421" t="inlineStr">
        <is>
          <t>Hawaii</t>
        </is>
      </c>
      <c r="E421" s="172" t="n">
        <v>4</v>
      </c>
      <c r="F421" s="172" t="n">
        <v>1434950</v>
      </c>
      <c r="G421" s="172" t="n">
        <v>0.2788</v>
      </c>
      <c r="H421" s="172" t="n">
        <v>2.7876</v>
      </c>
      <c r="I421" s="172" t="n">
        <v>1</v>
      </c>
      <c r="J421" t="n">
        <v>0.6969</v>
      </c>
      <c r="K421" s="172" t="n">
        <v>2</v>
      </c>
      <c r="L421" t="n">
        <v>1.3938</v>
      </c>
      <c r="M421" s="172" t="n">
        <v>1</v>
      </c>
      <c r="N421" t="n">
        <v>0.6969</v>
      </c>
      <c r="O421" s="172" t="n">
        <v>2</v>
      </c>
      <c r="P421" t="n">
        <v>1.3938</v>
      </c>
      <c r="Q421" s="172" t="n">
        <v>1</v>
      </c>
      <c r="R421" s="172" t="n">
        <v>3</v>
      </c>
      <c r="S421" s="172" t="inlineStr">
        <is>
          <t>Census PEP Vintage 2025</t>
        </is>
      </c>
      <c r="T421" s="172" t="inlineStr">
        <is>
          <t>https://www2.census.gov/programs-surveys/popest/datasets/2020-2025/state/totals/NST-EST2025-ALLDATA.csv</t>
        </is>
      </c>
    </row>
    <row r="422">
      <c r="A422" s="172" t="n">
        <v>2023</v>
      </c>
      <c r="B422" t="inlineStr">
        <is>
          <t>IA</t>
        </is>
      </c>
      <c r="C422" t="inlineStr">
        <is>
          <t>19</t>
        </is>
      </c>
      <c r="D422" t="inlineStr">
        <is>
          <t>Iowa</t>
        </is>
      </c>
      <c r="E422" s="172" t="n">
        <v>4</v>
      </c>
      <c r="F422" s="172" t="n">
        <v>3214739</v>
      </c>
      <c r="G422" s="172" t="n">
        <v>0.1244</v>
      </c>
      <c r="H422" s="172" t="n">
        <v>1.2443</v>
      </c>
      <c r="I422" s="172" t="n">
        <v>0</v>
      </c>
      <c r="J422" t="n">
        <v>0</v>
      </c>
      <c r="K422" s="172" t="n">
        <v>2</v>
      </c>
      <c r="L422" t="n">
        <v>0.6221</v>
      </c>
      <c r="M422" s="172" t="n">
        <v>0</v>
      </c>
      <c r="N422" t="n">
        <v>0</v>
      </c>
      <c r="O422" s="172" t="n">
        <v>1</v>
      </c>
      <c r="P422" t="n">
        <v>0.3111</v>
      </c>
      <c r="Q422" s="172" t="n">
        <v>4</v>
      </c>
      <c r="R422" s="172" t="n">
        <v>0</v>
      </c>
      <c r="S422" s="172" t="inlineStr">
        <is>
          <t>Census PEP Vintage 2025</t>
        </is>
      </c>
      <c r="T422" s="172" t="inlineStr">
        <is>
          <t>https://www2.census.gov/programs-surveys/popest/datasets/2020-2025/state/totals/NST-EST2025-ALLDATA.csv</t>
        </is>
      </c>
    </row>
    <row r="423">
      <c r="A423" s="172" t="n">
        <v>2023</v>
      </c>
      <c r="B423" t="inlineStr">
        <is>
          <t>ID</t>
        </is>
      </c>
      <c r="C423" t="inlineStr">
        <is>
          <t>16</t>
        </is>
      </c>
      <c r="D423" t="inlineStr">
        <is>
          <t>Idaho</t>
        </is>
      </c>
      <c r="E423" s="172" t="n">
        <v>14</v>
      </c>
      <c r="F423" s="172" t="n">
        <v>1970497</v>
      </c>
      <c r="G423" s="172" t="n">
        <v>0.7105</v>
      </c>
      <c r="H423" s="172" t="n">
        <v>7.1048</v>
      </c>
      <c r="I423" s="172" t="n">
        <v>0</v>
      </c>
      <c r="J423" t="n">
        <v>0</v>
      </c>
      <c r="K423" s="172" t="n">
        <v>6</v>
      </c>
      <c r="L423" t="n">
        <v>3.0449</v>
      </c>
      <c r="M423" s="172" t="n">
        <v>2</v>
      </c>
      <c r="N423" t="n">
        <v>1.015</v>
      </c>
      <c r="O423" s="172" t="n">
        <v>2</v>
      </c>
      <c r="P423" t="n">
        <v>1.015</v>
      </c>
      <c r="Q423" s="172" t="n">
        <v>9</v>
      </c>
      <c r="R423" s="172" t="n">
        <v>5</v>
      </c>
      <c r="S423" s="172" t="inlineStr">
        <is>
          <t>Census PEP Vintage 2025</t>
        </is>
      </c>
      <c r="T423" s="172" t="inlineStr">
        <is>
          <t>https://www2.census.gov/programs-surveys/popest/datasets/2020-2025/state/totals/NST-EST2025-ALLDATA.csv</t>
        </is>
      </c>
    </row>
    <row r="424">
      <c r="A424" s="172" t="n">
        <v>2023</v>
      </c>
      <c r="B424" t="inlineStr">
        <is>
          <t>IL</t>
        </is>
      </c>
      <c r="C424" t="inlineStr">
        <is>
          <t>17</t>
        </is>
      </c>
      <c r="D424" t="inlineStr">
        <is>
          <t>Illinois</t>
        </is>
      </c>
      <c r="E424" s="172" t="n">
        <v>25</v>
      </c>
      <c r="F424" s="172" t="n">
        <v>12633389</v>
      </c>
      <c r="G424" s="172" t="n">
        <v>0.1979</v>
      </c>
      <c r="H424" s="172" t="n">
        <v>1.9789</v>
      </c>
      <c r="I424" s="172" t="n">
        <v>0</v>
      </c>
      <c r="J424" t="n">
        <v>0</v>
      </c>
      <c r="K424" s="172" t="n">
        <v>13</v>
      </c>
      <c r="L424" t="n">
        <v>1.029</v>
      </c>
      <c r="M424" s="172" t="n">
        <v>5</v>
      </c>
      <c r="N424" t="n">
        <v>0.3958</v>
      </c>
      <c r="O424" s="172" t="n">
        <v>11</v>
      </c>
      <c r="P424" t="n">
        <v>0.8707</v>
      </c>
      <c r="Q424" s="172" t="n">
        <v>21</v>
      </c>
      <c r="R424" s="172" t="n">
        <v>4</v>
      </c>
      <c r="S424" s="172" t="inlineStr">
        <is>
          <t>Census PEP Vintage 2025</t>
        </is>
      </c>
      <c r="T424" s="172" t="inlineStr">
        <is>
          <t>https://www2.census.gov/programs-surveys/popest/datasets/2020-2025/state/totals/NST-EST2025-ALLDATA.csv</t>
        </is>
      </c>
    </row>
    <row r="425">
      <c r="A425" s="172" t="n">
        <v>2023</v>
      </c>
      <c r="B425" t="inlineStr">
        <is>
          <t>IN</t>
        </is>
      </c>
      <c r="C425" t="inlineStr">
        <is>
          <t>18</t>
        </is>
      </c>
      <c r="D425" t="inlineStr">
        <is>
          <t>Indiana</t>
        </is>
      </c>
      <c r="E425" s="172" t="n">
        <v>33</v>
      </c>
      <c r="F425" s="172" t="n">
        <v>6881373</v>
      </c>
      <c r="G425" s="172" t="n">
        <v>0.4796</v>
      </c>
      <c r="H425" s="172" t="n">
        <v>4.7956</v>
      </c>
      <c r="I425" s="172" t="n">
        <v>0</v>
      </c>
      <c r="J425" t="n">
        <v>0</v>
      </c>
      <c r="K425" s="172" t="n">
        <v>24</v>
      </c>
      <c r="L425" t="n">
        <v>3.4877</v>
      </c>
      <c r="M425" s="172" t="n">
        <v>6</v>
      </c>
      <c r="N425" t="n">
        <v>0.8719</v>
      </c>
      <c r="O425" s="172" t="n">
        <v>18</v>
      </c>
      <c r="P425" t="n">
        <v>2.6158</v>
      </c>
      <c r="Q425" s="172" t="n">
        <v>29</v>
      </c>
      <c r="R425" s="172" t="n">
        <v>4</v>
      </c>
      <c r="S425" s="172" t="inlineStr">
        <is>
          <t>Census PEP Vintage 2025</t>
        </is>
      </c>
      <c r="T425" s="172" t="inlineStr">
        <is>
          <t>https://www2.census.gov/programs-surveys/popest/datasets/2020-2025/state/totals/NST-EST2025-ALLDATA.csv</t>
        </is>
      </c>
    </row>
    <row r="426">
      <c r="A426" s="172" t="n">
        <v>2023</v>
      </c>
      <c r="B426" t="inlineStr">
        <is>
          <t>KS</t>
        </is>
      </c>
      <c r="C426" t="inlineStr">
        <is>
          <t>20</t>
        </is>
      </c>
      <c r="D426" t="inlineStr">
        <is>
          <t>Kansas</t>
        </is>
      </c>
      <c r="E426" s="172" t="n">
        <v>9</v>
      </c>
      <c r="F426" s="172" t="n">
        <v>2949749</v>
      </c>
      <c r="G426" s="172" t="n">
        <v>0.3051</v>
      </c>
      <c r="H426" s="172" t="n">
        <v>3.0511</v>
      </c>
      <c r="I426" s="172" t="n">
        <v>0</v>
      </c>
      <c r="J426" t="n">
        <v>0</v>
      </c>
      <c r="K426" s="172" t="n">
        <v>3</v>
      </c>
      <c r="L426" t="n">
        <v>1.017</v>
      </c>
      <c r="M426" s="172" t="n">
        <v>2</v>
      </c>
      <c r="N426" t="n">
        <v>0.678</v>
      </c>
      <c r="O426" s="172" t="n">
        <v>3</v>
      </c>
      <c r="P426" t="n">
        <v>1.017</v>
      </c>
      <c r="Q426" s="172" t="n">
        <v>7</v>
      </c>
      <c r="R426" s="172" t="n">
        <v>2</v>
      </c>
      <c r="S426" s="172" t="inlineStr">
        <is>
          <t>Census PEP Vintage 2025</t>
        </is>
      </c>
      <c r="T426" s="172" t="inlineStr">
        <is>
          <t>https://www2.census.gov/programs-surveys/popest/datasets/2020-2025/state/totals/NST-EST2025-ALLDATA.csv</t>
        </is>
      </c>
    </row>
    <row r="427">
      <c r="A427" s="172" t="n">
        <v>2023</v>
      </c>
      <c r="B427" t="inlineStr">
        <is>
          <t>KY</t>
        </is>
      </c>
      <c r="C427" t="inlineStr">
        <is>
          <t>21</t>
        </is>
      </c>
      <c r="D427" t="inlineStr">
        <is>
          <t>Kentucky</t>
        </is>
      </c>
      <c r="E427" s="172" t="n">
        <v>18</v>
      </c>
      <c r="F427" s="172" t="n">
        <v>4549953</v>
      </c>
      <c r="G427" s="172" t="n">
        <v>0.3956</v>
      </c>
      <c r="H427" s="172" t="n">
        <v>3.9561</v>
      </c>
      <c r="I427" s="172" t="n">
        <v>0</v>
      </c>
      <c r="J427" t="n">
        <v>0</v>
      </c>
      <c r="K427" s="172" t="n">
        <v>9</v>
      </c>
      <c r="L427" t="n">
        <v>1.978</v>
      </c>
      <c r="M427" s="172" t="n">
        <v>1</v>
      </c>
      <c r="N427" t="n">
        <v>0.2198</v>
      </c>
      <c r="O427" s="172" t="n">
        <v>5</v>
      </c>
      <c r="P427" t="n">
        <v>1.0989</v>
      </c>
      <c r="Q427" s="172" t="n">
        <v>14</v>
      </c>
      <c r="R427" s="172" t="n">
        <v>4</v>
      </c>
      <c r="S427" s="172" t="inlineStr">
        <is>
          <t>Census PEP Vintage 2025</t>
        </is>
      </c>
      <c r="T427" s="172" t="inlineStr">
        <is>
          <t>https://www2.census.gov/programs-surveys/popest/datasets/2020-2025/state/totals/NST-EST2025-ALLDATA.csv</t>
        </is>
      </c>
    </row>
    <row r="428">
      <c r="A428" s="172" t="n">
        <v>2023</v>
      </c>
      <c r="B428" t="inlineStr">
        <is>
          <t>LA</t>
        </is>
      </c>
      <c r="C428" t="inlineStr">
        <is>
          <t>22</t>
        </is>
      </c>
      <c r="D428" t="inlineStr">
        <is>
          <t>Louisiana</t>
        </is>
      </c>
      <c r="E428" s="172" t="n">
        <v>20</v>
      </c>
      <c r="F428" s="172" t="n">
        <v>4598777</v>
      </c>
      <c r="G428" s="172" t="n">
        <v>0.4349</v>
      </c>
      <c r="H428" s="172" t="n">
        <v>4.349</v>
      </c>
      <c r="I428" s="172" t="n">
        <v>2</v>
      </c>
      <c r="J428" t="n">
        <v>0.4349</v>
      </c>
      <c r="K428" s="172" t="n">
        <v>13</v>
      </c>
      <c r="L428" t="n">
        <v>2.8268</v>
      </c>
      <c r="M428" s="172" t="n">
        <v>0</v>
      </c>
      <c r="N428" t="n">
        <v>0</v>
      </c>
      <c r="O428" s="172" t="n">
        <v>5</v>
      </c>
      <c r="P428" t="n">
        <v>1.0872</v>
      </c>
      <c r="Q428" s="172" t="n">
        <v>14</v>
      </c>
      <c r="R428" s="172" t="n">
        <v>6</v>
      </c>
      <c r="S428" s="172" t="inlineStr">
        <is>
          <t>Census PEP Vintage 2025</t>
        </is>
      </c>
      <c r="T428" s="172" t="inlineStr">
        <is>
          <t>https://www2.census.gov/programs-surveys/popest/datasets/2020-2025/state/totals/NST-EST2025-ALLDATA.csv</t>
        </is>
      </c>
    </row>
    <row r="429">
      <c r="A429" s="172" t="n">
        <v>2023</v>
      </c>
      <c r="B429" t="inlineStr">
        <is>
          <t>MA</t>
        </is>
      </c>
      <c r="C429" t="inlineStr">
        <is>
          <t>25</t>
        </is>
      </c>
      <c r="D429" t="inlineStr">
        <is>
          <t>Massachusetts</t>
        </is>
      </c>
      <c r="E429" s="172" t="n">
        <v>5</v>
      </c>
      <c r="F429" s="172" t="n">
        <v>7073479</v>
      </c>
      <c r="G429" s="172" t="n">
        <v>0.0707</v>
      </c>
      <c r="H429" s="172" t="n">
        <v>0.7069</v>
      </c>
      <c r="I429" s="172" t="n">
        <v>0</v>
      </c>
      <c r="J429" t="n">
        <v>0</v>
      </c>
      <c r="K429" s="172" t="n">
        <v>2</v>
      </c>
      <c r="L429" t="n">
        <v>0.2827</v>
      </c>
      <c r="M429" s="172" t="n">
        <v>1</v>
      </c>
      <c r="N429" t="n">
        <v>0.1414</v>
      </c>
      <c r="O429" s="172" t="n">
        <v>2</v>
      </c>
      <c r="P429" t="n">
        <v>0.2827</v>
      </c>
      <c r="Q429" s="172" t="n">
        <v>5</v>
      </c>
      <c r="R429" s="172" t="n">
        <v>0</v>
      </c>
      <c r="S429" s="172" t="inlineStr">
        <is>
          <t>Census PEP Vintage 2025</t>
        </is>
      </c>
      <c r="T429" s="172" t="inlineStr">
        <is>
          <t>https://www2.census.gov/programs-surveys/popest/datasets/2020-2025/state/totals/NST-EST2025-ALLDATA.csv</t>
        </is>
      </c>
    </row>
    <row r="430">
      <c r="A430" s="172" t="n">
        <v>2023</v>
      </c>
      <c r="B430" t="inlineStr">
        <is>
          <t>MD</t>
        </is>
      </c>
      <c r="C430" t="inlineStr">
        <is>
          <t>24</t>
        </is>
      </c>
      <c r="D430" t="inlineStr">
        <is>
          <t>Maryland</t>
        </is>
      </c>
      <c r="E430" s="172" t="n">
        <v>7</v>
      </c>
      <c r="F430" s="172" t="n">
        <v>6204927</v>
      </c>
      <c r="G430" s="172" t="n">
        <v>0.1128</v>
      </c>
      <c r="H430" s="172" t="n">
        <v>1.1281</v>
      </c>
      <c r="I430" s="172" t="n">
        <v>1</v>
      </c>
      <c r="J430" t="n">
        <v>0.1612</v>
      </c>
      <c r="K430" s="172" t="n">
        <v>4</v>
      </c>
      <c r="L430" t="n">
        <v>0.6446</v>
      </c>
      <c r="M430" s="172" t="n">
        <v>1</v>
      </c>
      <c r="N430" t="n">
        <v>0.1612</v>
      </c>
      <c r="O430" s="172" t="n">
        <v>3</v>
      </c>
      <c r="P430" t="n">
        <v>0.4835</v>
      </c>
      <c r="Q430" s="172" t="n">
        <v>6</v>
      </c>
      <c r="R430" s="172" t="n">
        <v>1</v>
      </c>
      <c r="S430" s="172" t="inlineStr">
        <is>
          <t>Census PEP Vintage 2025</t>
        </is>
      </c>
      <c r="T430" s="172" t="inlineStr">
        <is>
          <t>https://www2.census.gov/programs-surveys/popest/datasets/2020-2025/state/totals/NST-EST2025-ALLDATA.csv</t>
        </is>
      </c>
    </row>
    <row r="431">
      <c r="A431" s="172" t="n">
        <v>2023</v>
      </c>
      <c r="B431" t="inlineStr">
        <is>
          <t>ME</t>
        </is>
      </c>
      <c r="C431" t="inlineStr">
        <is>
          <t>23</t>
        </is>
      </c>
      <c r="D431" t="inlineStr">
        <is>
          <t>Maine</t>
        </is>
      </c>
      <c r="E431" s="172" t="n">
        <v>5</v>
      </c>
      <c r="F431" s="172" t="n">
        <v>1401992</v>
      </c>
      <c r="G431" s="172" t="n">
        <v>0.3566</v>
      </c>
      <c r="H431" s="172" t="n">
        <v>3.5664</v>
      </c>
      <c r="I431" s="172" t="n">
        <v>0</v>
      </c>
      <c r="J431" t="n">
        <v>0</v>
      </c>
      <c r="K431" s="172" t="n">
        <v>4</v>
      </c>
      <c r="L431" t="n">
        <v>2.8531</v>
      </c>
      <c r="M431" s="172" t="n">
        <v>0</v>
      </c>
      <c r="N431" t="n">
        <v>0</v>
      </c>
      <c r="O431" s="172" t="n">
        <v>0</v>
      </c>
      <c r="P431" t="n">
        <v>0</v>
      </c>
      <c r="Q431" s="172" t="n">
        <v>5</v>
      </c>
      <c r="R431" s="172" t="n">
        <v>0</v>
      </c>
      <c r="S431" s="172" t="inlineStr">
        <is>
          <t>Census PEP Vintage 2025</t>
        </is>
      </c>
      <c r="T431" s="172" t="inlineStr">
        <is>
          <t>https://www2.census.gov/programs-surveys/popest/datasets/2020-2025/state/totals/NST-EST2025-ALLDATA.csv</t>
        </is>
      </c>
    </row>
    <row r="432">
      <c r="A432" s="172" t="n">
        <v>2023</v>
      </c>
      <c r="B432" t="inlineStr">
        <is>
          <t>MI</t>
        </is>
      </c>
      <c r="C432" t="inlineStr">
        <is>
          <t>26</t>
        </is>
      </c>
      <c r="D432" t="inlineStr">
        <is>
          <t>Michigan</t>
        </is>
      </c>
      <c r="E432" s="172" t="n">
        <v>29</v>
      </c>
      <c r="F432" s="172" t="n">
        <v>10062124</v>
      </c>
      <c r="G432" s="172" t="n">
        <v>0.2882</v>
      </c>
      <c r="H432" s="172" t="n">
        <v>2.8821</v>
      </c>
      <c r="I432" s="172" t="n">
        <v>1</v>
      </c>
      <c r="J432" t="n">
        <v>0.0994</v>
      </c>
      <c r="K432" s="172" t="n">
        <v>21</v>
      </c>
      <c r="L432" t="n">
        <v>2.087</v>
      </c>
      <c r="M432" s="172" t="n">
        <v>3</v>
      </c>
      <c r="N432" t="n">
        <v>0.2981</v>
      </c>
      <c r="O432" s="172" t="n">
        <v>4</v>
      </c>
      <c r="P432" t="n">
        <v>0.3975</v>
      </c>
      <c r="Q432" s="172" t="n">
        <v>18</v>
      </c>
      <c r="R432" s="172" t="n">
        <v>11</v>
      </c>
      <c r="S432" s="172" t="inlineStr">
        <is>
          <t>Census PEP Vintage 2025</t>
        </is>
      </c>
      <c r="T432" s="172" t="inlineStr">
        <is>
          <t>https://www2.census.gov/programs-surveys/popest/datasets/2020-2025/state/totals/NST-EST2025-ALLDATA.csv</t>
        </is>
      </c>
    </row>
    <row r="433">
      <c r="A433" s="172" t="n">
        <v>2023</v>
      </c>
      <c r="B433" t="inlineStr">
        <is>
          <t>MN</t>
        </is>
      </c>
      <c r="C433" t="inlineStr">
        <is>
          <t>27</t>
        </is>
      </c>
      <c r="D433" t="inlineStr">
        <is>
          <t>Minnesota</t>
        </is>
      </c>
      <c r="E433" s="172" t="n">
        <v>8</v>
      </c>
      <c r="F433" s="172" t="n">
        <v>5752998</v>
      </c>
      <c r="G433" s="172" t="n">
        <v>0.1391</v>
      </c>
      <c r="H433" s="172" t="n">
        <v>1.3906</v>
      </c>
      <c r="I433" s="172" t="n">
        <v>0</v>
      </c>
      <c r="J433" t="n">
        <v>0</v>
      </c>
      <c r="K433" s="172" t="n">
        <v>4</v>
      </c>
      <c r="L433" t="n">
        <v>0.6953</v>
      </c>
      <c r="M433" s="172" t="n">
        <v>0</v>
      </c>
      <c r="N433" t="n">
        <v>0</v>
      </c>
      <c r="O433" s="172" t="n">
        <v>7</v>
      </c>
      <c r="P433" t="n">
        <v>1.2168</v>
      </c>
      <c r="Q433" s="172" t="n">
        <v>6</v>
      </c>
      <c r="R433" s="172" t="n">
        <v>2</v>
      </c>
      <c r="S433" s="172" t="inlineStr">
        <is>
          <t>Census PEP Vintage 2025</t>
        </is>
      </c>
      <c r="T433" s="172" t="inlineStr">
        <is>
          <t>https://www2.census.gov/programs-surveys/popest/datasets/2020-2025/state/totals/NST-EST2025-ALLDATA.csv</t>
        </is>
      </c>
    </row>
    <row r="434">
      <c r="A434" s="172" t="n">
        <v>2023</v>
      </c>
      <c r="B434" t="inlineStr">
        <is>
          <t>MO</t>
        </is>
      </c>
      <c r="C434" t="inlineStr">
        <is>
          <t>29</t>
        </is>
      </c>
      <c r="D434" t="inlineStr">
        <is>
          <t>Missouri</t>
        </is>
      </c>
      <c r="E434" s="172" t="n">
        <v>27</v>
      </c>
      <c r="F434" s="172" t="n">
        <v>6205956</v>
      </c>
      <c r="G434" s="172" t="n">
        <v>0.4351</v>
      </c>
      <c r="H434" s="172" t="n">
        <v>4.3507</v>
      </c>
      <c r="I434" s="172" t="n">
        <v>1</v>
      </c>
      <c r="J434" t="n">
        <v>0.1611</v>
      </c>
      <c r="K434" s="172" t="n">
        <v>18</v>
      </c>
      <c r="L434" t="n">
        <v>2.9004</v>
      </c>
      <c r="M434" s="172" t="n">
        <v>5</v>
      </c>
      <c r="N434" t="n">
        <v>0.8057</v>
      </c>
      <c r="O434" s="172" t="n">
        <v>4</v>
      </c>
      <c r="P434" t="n">
        <v>0.6445</v>
      </c>
      <c r="Q434" s="172" t="n">
        <v>22</v>
      </c>
      <c r="R434" s="172" t="n">
        <v>5</v>
      </c>
      <c r="S434" s="172" t="inlineStr">
        <is>
          <t>Census PEP Vintage 2025</t>
        </is>
      </c>
      <c r="T434" s="172" t="inlineStr">
        <is>
          <t>https://www2.census.gov/programs-surveys/popest/datasets/2020-2025/state/totals/NST-EST2025-ALLDATA.csv</t>
        </is>
      </c>
    </row>
    <row r="435">
      <c r="A435" s="172" t="n">
        <v>2023</v>
      </c>
      <c r="B435" t="inlineStr">
        <is>
          <t>MS</t>
        </is>
      </c>
      <c r="C435" t="inlineStr">
        <is>
          <t>28</t>
        </is>
      </c>
      <c r="D435" t="inlineStr">
        <is>
          <t>Mississippi</t>
        </is>
      </c>
      <c r="E435" s="172" t="n">
        <v>16</v>
      </c>
      <c r="F435" s="172" t="n">
        <v>2942470</v>
      </c>
      <c r="G435" s="172" t="n">
        <v>0.5438</v>
      </c>
      <c r="H435" s="172" t="n">
        <v>5.4376</v>
      </c>
      <c r="I435" s="172" t="n">
        <v>1</v>
      </c>
      <c r="J435" t="n">
        <v>0.3399</v>
      </c>
      <c r="K435" s="172" t="n">
        <v>11</v>
      </c>
      <c r="L435" t="n">
        <v>3.7384</v>
      </c>
      <c r="M435" s="172" t="n">
        <v>1</v>
      </c>
      <c r="N435" t="n">
        <v>0.3399</v>
      </c>
      <c r="O435" s="172" t="n">
        <v>1</v>
      </c>
      <c r="P435" t="n">
        <v>0.3399</v>
      </c>
      <c r="Q435" s="172" t="n">
        <v>9</v>
      </c>
      <c r="R435" s="172" t="n">
        <v>7</v>
      </c>
      <c r="S435" s="172" t="inlineStr">
        <is>
          <t>Census PEP Vintage 2025</t>
        </is>
      </c>
      <c r="T435" s="172" t="inlineStr">
        <is>
          <t>https://www2.census.gov/programs-surveys/popest/datasets/2020-2025/state/totals/NST-EST2025-ALLDATA.csv</t>
        </is>
      </c>
    </row>
    <row r="436">
      <c r="A436" s="172" t="n">
        <v>2023</v>
      </c>
      <c r="B436" t="inlineStr">
        <is>
          <t>MT</t>
        </is>
      </c>
      <c r="C436" t="inlineStr">
        <is>
          <t>30</t>
        </is>
      </c>
      <c r="D436" t="inlineStr">
        <is>
          <t>Montana</t>
        </is>
      </c>
      <c r="E436" s="172" t="n">
        <v>7</v>
      </c>
      <c r="F436" s="172" t="n">
        <v>1130612</v>
      </c>
      <c r="G436" s="172" t="n">
        <v>0.6191</v>
      </c>
      <c r="H436" s="172" t="n">
        <v>6.1913</v>
      </c>
      <c r="I436" s="172" t="n">
        <v>0</v>
      </c>
      <c r="J436" t="n">
        <v>0</v>
      </c>
      <c r="K436" s="172" t="n">
        <v>5</v>
      </c>
      <c r="L436" t="n">
        <v>4.4224</v>
      </c>
      <c r="M436" s="172" t="n">
        <v>2</v>
      </c>
      <c r="N436" t="n">
        <v>1.769</v>
      </c>
      <c r="O436" s="172" t="n">
        <v>0</v>
      </c>
      <c r="P436" t="n">
        <v>0</v>
      </c>
      <c r="Q436" s="172" t="n">
        <v>5</v>
      </c>
      <c r="R436" s="172" t="n">
        <v>2</v>
      </c>
      <c r="S436" s="172" t="inlineStr">
        <is>
          <t>Census PEP Vintage 2025</t>
        </is>
      </c>
      <c r="T436" s="172" t="inlineStr">
        <is>
          <t>https://www2.census.gov/programs-surveys/popest/datasets/2020-2025/state/totals/NST-EST2025-ALLDATA.csv</t>
        </is>
      </c>
    </row>
    <row r="437">
      <c r="A437" s="172" t="n">
        <v>2023</v>
      </c>
      <c r="B437" t="inlineStr">
        <is>
          <t>NC</t>
        </is>
      </c>
      <c r="C437" t="inlineStr">
        <is>
          <t>37</t>
        </is>
      </c>
      <c r="D437" t="inlineStr">
        <is>
          <t>North Carolina</t>
        </is>
      </c>
      <c r="E437" s="172" t="n">
        <v>41</v>
      </c>
      <c r="F437" s="172" t="n">
        <v>10871849</v>
      </c>
      <c r="G437" s="172" t="n">
        <v>0.3771</v>
      </c>
      <c r="H437" s="172" t="n">
        <v>3.7712</v>
      </c>
      <c r="I437" s="172" t="n">
        <v>4</v>
      </c>
      <c r="J437" t="n">
        <v>0.3679</v>
      </c>
      <c r="K437" s="172" t="n">
        <v>27</v>
      </c>
      <c r="L437" t="n">
        <v>2.4835</v>
      </c>
      <c r="M437" s="172" t="n">
        <v>8</v>
      </c>
      <c r="N437" t="n">
        <v>0.7358</v>
      </c>
      <c r="O437" s="172" t="n">
        <v>6</v>
      </c>
      <c r="P437" t="n">
        <v>0.5518999999999999</v>
      </c>
      <c r="Q437" s="172" t="n">
        <v>35</v>
      </c>
      <c r="R437" s="172" t="n">
        <v>6</v>
      </c>
      <c r="S437" s="172" t="inlineStr">
        <is>
          <t>Census PEP Vintage 2025</t>
        </is>
      </c>
      <c r="T437" s="172" t="inlineStr">
        <is>
          <t>https://www2.census.gov/programs-surveys/popest/datasets/2020-2025/state/totals/NST-EST2025-ALLDATA.csv</t>
        </is>
      </c>
    </row>
    <row r="438">
      <c r="A438" s="172" t="n">
        <v>2023</v>
      </c>
      <c r="B438" t="inlineStr">
        <is>
          <t>ND</t>
        </is>
      </c>
      <c r="C438" t="inlineStr">
        <is>
          <t>38</t>
        </is>
      </c>
      <c r="D438" t="inlineStr">
        <is>
          <t>North Dakota</t>
        </is>
      </c>
      <c r="E438" s="172" t="n">
        <v>2</v>
      </c>
      <c r="F438" s="172" t="n">
        <v>787071</v>
      </c>
      <c r="G438" s="172" t="n">
        <v>0.2541</v>
      </c>
      <c r="H438" s="172" t="n">
        <v>2.5411</v>
      </c>
      <c r="I438" s="172" t="n">
        <v>0</v>
      </c>
      <c r="J438" t="n">
        <v>0</v>
      </c>
      <c r="K438" s="172" t="n">
        <v>2</v>
      </c>
      <c r="L438" t="n">
        <v>2.5411</v>
      </c>
      <c r="M438" s="172" t="n">
        <v>0</v>
      </c>
      <c r="N438" t="n">
        <v>0</v>
      </c>
      <c r="O438" s="172" t="n">
        <v>1</v>
      </c>
      <c r="P438" t="n">
        <v>1.2705</v>
      </c>
      <c r="Q438" s="172" t="n">
        <v>1</v>
      </c>
      <c r="R438" s="172" t="n">
        <v>1</v>
      </c>
      <c r="S438" s="172" t="inlineStr">
        <is>
          <t>Census PEP Vintage 2025</t>
        </is>
      </c>
      <c r="T438" s="172" t="inlineStr">
        <is>
          <t>https://www2.census.gov/programs-surveys/popest/datasets/2020-2025/state/totals/NST-EST2025-ALLDATA.csv</t>
        </is>
      </c>
    </row>
    <row r="439">
      <c r="A439" s="172" t="n">
        <v>2023</v>
      </c>
      <c r="B439" t="inlineStr">
        <is>
          <t>NE</t>
        </is>
      </c>
      <c r="C439" t="inlineStr">
        <is>
          <t>31</t>
        </is>
      </c>
      <c r="D439" t="inlineStr">
        <is>
          <t>Nebraska</t>
        </is>
      </c>
      <c r="E439" s="172" t="n">
        <v>5</v>
      </c>
      <c r="F439" s="172" t="n">
        <v>1988172</v>
      </c>
      <c r="G439" s="172" t="n">
        <v>0.2515</v>
      </c>
      <c r="H439" s="172" t="n">
        <v>2.5149</v>
      </c>
      <c r="I439" s="172" t="n">
        <v>0</v>
      </c>
      <c r="J439" t="n">
        <v>0</v>
      </c>
      <c r="K439" s="172" t="n">
        <v>4</v>
      </c>
      <c r="L439" t="n">
        <v>2.0119</v>
      </c>
      <c r="M439" s="172" t="n">
        <v>2</v>
      </c>
      <c r="N439" t="n">
        <v>1.0059</v>
      </c>
      <c r="O439" s="172" t="n">
        <v>1</v>
      </c>
      <c r="P439" t="n">
        <v>0.503</v>
      </c>
      <c r="Q439" s="172" t="n">
        <v>4</v>
      </c>
      <c r="R439" s="172" t="n">
        <v>1</v>
      </c>
      <c r="S439" s="172" t="inlineStr">
        <is>
          <t>Census PEP Vintage 2025</t>
        </is>
      </c>
      <c r="T439" s="172" t="inlineStr">
        <is>
          <t>https://www2.census.gov/programs-surveys/popest/datasets/2020-2025/state/totals/NST-EST2025-ALLDATA.csv</t>
        </is>
      </c>
    </row>
    <row r="440">
      <c r="A440" s="172" t="n">
        <v>2023</v>
      </c>
      <c r="B440" t="inlineStr">
        <is>
          <t>NH</t>
        </is>
      </c>
      <c r="C440" t="inlineStr">
        <is>
          <t>33</t>
        </is>
      </c>
      <c r="D440" t="inlineStr">
        <is>
          <t>New Hampshire</t>
        </is>
      </c>
      <c r="E440" s="172" t="n">
        <v>4</v>
      </c>
      <c r="F440" s="172" t="n">
        <v>1401530</v>
      </c>
      <c r="G440" s="172" t="n">
        <v>0.2854</v>
      </c>
      <c r="H440" s="172" t="n">
        <v>2.854</v>
      </c>
      <c r="I440" s="172" t="n">
        <v>0</v>
      </c>
      <c r="J440" t="n">
        <v>0</v>
      </c>
      <c r="K440" s="172" t="n">
        <v>3</v>
      </c>
      <c r="L440" t="n">
        <v>2.1405</v>
      </c>
      <c r="M440" s="172" t="n">
        <v>3</v>
      </c>
      <c r="N440" t="n">
        <v>2.1405</v>
      </c>
      <c r="O440" s="172" t="n">
        <v>2</v>
      </c>
      <c r="P440" t="n">
        <v>1.427</v>
      </c>
      <c r="Q440" s="172" t="n">
        <v>3</v>
      </c>
      <c r="R440" s="172" t="n">
        <v>1</v>
      </c>
      <c r="S440" s="172" t="inlineStr">
        <is>
          <t>Census PEP Vintage 2025</t>
        </is>
      </c>
      <c r="T440" s="172" t="inlineStr">
        <is>
          <t>https://www2.census.gov/programs-surveys/popest/datasets/2020-2025/state/totals/NST-EST2025-ALLDATA.csv</t>
        </is>
      </c>
    </row>
    <row r="441">
      <c r="A441" s="172" t="n">
        <v>2023</v>
      </c>
      <c r="B441" t="inlineStr">
        <is>
          <t>NJ</t>
        </is>
      </c>
      <c r="C441" t="inlineStr">
        <is>
          <t>34</t>
        </is>
      </c>
      <c r="D441" t="inlineStr">
        <is>
          <t>New Jersey</t>
        </is>
      </c>
      <c r="E441" s="172" t="n">
        <v>11</v>
      </c>
      <c r="F441" s="172" t="n">
        <v>9395315</v>
      </c>
      <c r="G441" s="172" t="n">
        <v>0.1171</v>
      </c>
      <c r="H441" s="172" t="n">
        <v>1.1708</v>
      </c>
      <c r="I441" s="172" t="n">
        <v>0</v>
      </c>
      <c r="J441" t="n">
        <v>0</v>
      </c>
      <c r="K441" s="172" t="n">
        <v>5</v>
      </c>
      <c r="L441" t="n">
        <v>0.5322</v>
      </c>
      <c r="M441" s="172" t="n">
        <v>2</v>
      </c>
      <c r="N441" t="n">
        <v>0.2129</v>
      </c>
      <c r="O441" s="172" t="n">
        <v>4</v>
      </c>
      <c r="P441" t="n">
        <v>0.4257</v>
      </c>
      <c r="Q441" s="172" t="n">
        <v>8</v>
      </c>
      <c r="R441" s="172" t="n">
        <v>3</v>
      </c>
      <c r="S441" s="172" t="inlineStr">
        <is>
          <t>Census PEP Vintage 2025</t>
        </is>
      </c>
      <c r="T441" s="172" t="inlineStr">
        <is>
          <t>https://www2.census.gov/programs-surveys/popest/datasets/2020-2025/state/totals/NST-EST2025-ALLDATA.csv</t>
        </is>
      </c>
    </row>
    <row r="442">
      <c r="A442" s="172" t="n">
        <v>2023</v>
      </c>
      <c r="B442" t="inlineStr">
        <is>
          <t>NM</t>
        </is>
      </c>
      <c r="C442" t="inlineStr">
        <is>
          <t>35</t>
        </is>
      </c>
      <c r="D442" t="inlineStr">
        <is>
          <t>New Mexico</t>
        </is>
      </c>
      <c r="E442" s="172" t="n">
        <v>22</v>
      </c>
      <c r="F442" s="172" t="n">
        <v>2119349</v>
      </c>
      <c r="G442" s="172" t="n">
        <v>1.0381</v>
      </c>
      <c r="H442" s="172" t="n">
        <v>10.3805</v>
      </c>
      <c r="I442" s="172" t="n">
        <v>1</v>
      </c>
      <c r="J442" t="n">
        <v>0.4718</v>
      </c>
      <c r="K442" s="172" t="n">
        <v>13</v>
      </c>
      <c r="L442" t="n">
        <v>6.134</v>
      </c>
      <c r="M442" s="172" t="n">
        <v>4</v>
      </c>
      <c r="N442" t="n">
        <v>1.8874</v>
      </c>
      <c r="O442" s="172" t="n">
        <v>8</v>
      </c>
      <c r="P442" t="n">
        <v>3.7747</v>
      </c>
      <c r="Q442" s="172" t="n">
        <v>14</v>
      </c>
      <c r="R442" s="172" t="n">
        <v>8</v>
      </c>
      <c r="S442" s="172" t="inlineStr">
        <is>
          <t>Census PEP Vintage 2025</t>
        </is>
      </c>
      <c r="T442" s="172" t="inlineStr">
        <is>
          <t>https://www2.census.gov/programs-surveys/popest/datasets/2020-2025/state/totals/NST-EST2025-ALLDATA.csv</t>
        </is>
      </c>
    </row>
    <row r="443">
      <c r="A443" s="172" t="n">
        <v>2023</v>
      </c>
      <c r="B443" t="inlineStr">
        <is>
          <t>NV</t>
        </is>
      </c>
      <c r="C443" t="inlineStr">
        <is>
          <t>32</t>
        </is>
      </c>
      <c r="D443" t="inlineStr">
        <is>
          <t>Nevada</t>
        </is>
      </c>
      <c r="E443" s="172" t="n">
        <v>19</v>
      </c>
      <c r="F443" s="172" t="n">
        <v>3211077</v>
      </c>
      <c r="G443" s="172" t="n">
        <v>0.5917</v>
      </c>
      <c r="H443" s="172" t="n">
        <v>5.917</v>
      </c>
      <c r="I443" s="172" t="n">
        <v>1</v>
      </c>
      <c r="J443" t="n">
        <v>0.3114</v>
      </c>
      <c r="K443" s="172" t="n">
        <v>10</v>
      </c>
      <c r="L443" t="n">
        <v>3.1142</v>
      </c>
      <c r="M443" s="172" t="n">
        <v>2</v>
      </c>
      <c r="N443" t="n">
        <v>0.6228</v>
      </c>
      <c r="O443" s="172" t="n">
        <v>8</v>
      </c>
      <c r="P443" t="n">
        <v>2.4914</v>
      </c>
      <c r="Q443" s="172" t="n">
        <v>17</v>
      </c>
      <c r="R443" s="172" t="n">
        <v>2</v>
      </c>
      <c r="S443" s="172" t="inlineStr">
        <is>
          <t>Census PEP Vintage 2025</t>
        </is>
      </c>
      <c r="T443" s="172" t="inlineStr">
        <is>
          <t>https://www2.census.gov/programs-surveys/popest/datasets/2020-2025/state/totals/NST-EST2025-ALLDATA.csv</t>
        </is>
      </c>
    </row>
    <row r="444">
      <c r="A444" s="172" t="n">
        <v>2023</v>
      </c>
      <c r="B444" t="inlineStr">
        <is>
          <t>NY</t>
        </is>
      </c>
      <c r="C444" t="inlineStr">
        <is>
          <t>36</t>
        </is>
      </c>
      <c r="D444" t="inlineStr">
        <is>
          <t>New York</t>
        </is>
      </c>
      <c r="E444" s="172" t="n">
        <v>22</v>
      </c>
      <c r="F444" s="172" t="n">
        <v>19786543</v>
      </c>
      <c r="G444" s="172" t="n">
        <v>0.1112</v>
      </c>
      <c r="H444" s="172" t="n">
        <v>1.1119</v>
      </c>
      <c r="I444" s="172" t="n">
        <v>1</v>
      </c>
      <c r="J444" t="n">
        <v>0.0505</v>
      </c>
      <c r="K444" s="172" t="n">
        <v>9</v>
      </c>
      <c r="L444" t="n">
        <v>0.4549</v>
      </c>
      <c r="M444" s="172" t="n">
        <v>7</v>
      </c>
      <c r="N444" t="n">
        <v>0.3538</v>
      </c>
      <c r="O444" s="172" t="n">
        <v>11</v>
      </c>
      <c r="P444" t="n">
        <v>0.5558999999999999</v>
      </c>
      <c r="Q444" s="172" t="n">
        <v>18</v>
      </c>
      <c r="R444" s="172" t="n">
        <v>4</v>
      </c>
      <c r="S444" s="172" t="inlineStr">
        <is>
          <t>Census PEP Vintage 2025</t>
        </is>
      </c>
      <c r="T444" s="172" t="inlineStr">
        <is>
          <t>https://www2.census.gov/programs-surveys/popest/datasets/2020-2025/state/totals/NST-EST2025-ALLDATA.csv</t>
        </is>
      </c>
    </row>
    <row r="445">
      <c r="A445" s="172" t="n">
        <v>2023</v>
      </c>
      <c r="B445" t="inlineStr">
        <is>
          <t>OH</t>
        </is>
      </c>
      <c r="C445" t="inlineStr">
        <is>
          <t>39</t>
        </is>
      </c>
      <c r="D445" t="inlineStr">
        <is>
          <t>Ohio</t>
        </is>
      </c>
      <c r="E445" s="172" t="n">
        <v>29</v>
      </c>
      <c r="F445" s="172" t="n">
        <v>11808390</v>
      </c>
      <c r="G445" s="172" t="n">
        <v>0.2456</v>
      </c>
      <c r="H445" s="172" t="n">
        <v>2.4559</v>
      </c>
      <c r="I445" s="172" t="n">
        <v>2</v>
      </c>
      <c r="J445" t="n">
        <v>0.1694</v>
      </c>
      <c r="K445" s="172" t="n">
        <v>19</v>
      </c>
      <c r="L445" t="n">
        <v>1.609</v>
      </c>
      <c r="M445" s="172" t="n">
        <v>6</v>
      </c>
      <c r="N445" t="n">
        <v>0.5081</v>
      </c>
      <c r="O445" s="172" t="n">
        <v>16</v>
      </c>
      <c r="P445" t="n">
        <v>1.355</v>
      </c>
      <c r="Q445" s="172" t="n">
        <v>29</v>
      </c>
      <c r="R445" s="172" t="n">
        <v>0</v>
      </c>
      <c r="S445" s="172" t="inlineStr">
        <is>
          <t>Census PEP Vintage 2025</t>
        </is>
      </c>
      <c r="T445" s="172" t="inlineStr">
        <is>
          <t>https://www2.census.gov/programs-surveys/popest/datasets/2020-2025/state/totals/NST-EST2025-ALLDATA.csv</t>
        </is>
      </c>
    </row>
    <row r="446">
      <c r="A446" s="172" t="n">
        <v>2023</v>
      </c>
      <c r="B446" t="inlineStr">
        <is>
          <t>OK</t>
        </is>
      </c>
      <c r="C446" t="inlineStr">
        <is>
          <t>40</t>
        </is>
      </c>
      <c r="D446" t="inlineStr">
        <is>
          <t>Oklahoma</t>
        </is>
      </c>
      <c r="E446" s="172" t="n">
        <v>24</v>
      </c>
      <c r="F446" s="172" t="n">
        <v>4062716</v>
      </c>
      <c r="G446" s="172" t="n">
        <v>0.5907</v>
      </c>
      <c r="H446" s="172" t="n">
        <v>5.9074</v>
      </c>
      <c r="I446" s="172" t="n">
        <v>0</v>
      </c>
      <c r="J446" t="n">
        <v>0</v>
      </c>
      <c r="K446" s="172" t="n">
        <v>16</v>
      </c>
      <c r="L446" t="n">
        <v>3.9383</v>
      </c>
      <c r="M446" s="172" t="n">
        <v>3</v>
      </c>
      <c r="N446" t="n">
        <v>0.7383999999999999</v>
      </c>
      <c r="O446" s="172" t="n">
        <v>4</v>
      </c>
      <c r="P446" t="n">
        <v>0.9846</v>
      </c>
      <c r="Q446" s="172" t="n">
        <v>22</v>
      </c>
      <c r="R446" s="172" t="n">
        <v>2</v>
      </c>
      <c r="S446" s="172" t="inlineStr">
        <is>
          <t>Census PEP Vintage 2025</t>
        </is>
      </c>
      <c r="T446" s="172" t="inlineStr">
        <is>
          <t>https://www2.census.gov/programs-surveys/popest/datasets/2020-2025/state/totals/NST-EST2025-ALLDATA.csv</t>
        </is>
      </c>
    </row>
    <row r="447">
      <c r="A447" s="172" t="n">
        <v>2023</v>
      </c>
      <c r="B447" t="inlineStr">
        <is>
          <t>OR</t>
        </is>
      </c>
      <c r="C447" t="inlineStr">
        <is>
          <t>41</t>
        </is>
      </c>
      <c r="D447" t="inlineStr">
        <is>
          <t>Oregon</t>
        </is>
      </c>
      <c r="E447" s="172" t="n">
        <v>18</v>
      </c>
      <c r="F447" s="172" t="n">
        <v>4250392</v>
      </c>
      <c r="G447" s="172" t="n">
        <v>0.4235</v>
      </c>
      <c r="H447" s="172" t="n">
        <v>4.2349</v>
      </c>
      <c r="I447" s="172" t="n">
        <v>0</v>
      </c>
      <c r="J447" t="n">
        <v>0</v>
      </c>
      <c r="K447" s="172" t="n">
        <v>9</v>
      </c>
      <c r="L447" t="n">
        <v>2.1175</v>
      </c>
      <c r="M447" s="172" t="n">
        <v>4</v>
      </c>
      <c r="N447" t="n">
        <v>0.9411</v>
      </c>
      <c r="O447" s="172" t="n">
        <v>2</v>
      </c>
      <c r="P447" t="n">
        <v>0.4705</v>
      </c>
      <c r="Q447" s="172" t="n">
        <v>10</v>
      </c>
      <c r="R447" s="172" t="n">
        <v>8</v>
      </c>
      <c r="S447" s="172" t="inlineStr">
        <is>
          <t>Census PEP Vintage 2025</t>
        </is>
      </c>
      <c r="T447" s="172" t="inlineStr">
        <is>
          <t>https://www2.census.gov/programs-surveys/popest/datasets/2020-2025/state/totals/NST-EST2025-ALLDATA.csv</t>
        </is>
      </c>
    </row>
    <row r="448">
      <c r="A448" s="172" t="n">
        <v>2023</v>
      </c>
      <c r="B448" t="inlineStr">
        <is>
          <t>PA</t>
        </is>
      </c>
      <c r="C448" t="inlineStr">
        <is>
          <t>42</t>
        </is>
      </c>
      <c r="D448" t="inlineStr">
        <is>
          <t>Pennsylvania</t>
        </is>
      </c>
      <c r="E448" s="172" t="n">
        <v>29</v>
      </c>
      <c r="F448" s="172" t="n">
        <v>13009406</v>
      </c>
      <c r="G448" s="172" t="n">
        <v>0.2229</v>
      </c>
      <c r="H448" s="172" t="n">
        <v>2.2292</v>
      </c>
      <c r="I448" s="172" t="n">
        <v>1</v>
      </c>
      <c r="J448" t="n">
        <v>0.0769</v>
      </c>
      <c r="K448" s="172" t="n">
        <v>17</v>
      </c>
      <c r="L448" t="n">
        <v>1.3067</v>
      </c>
      <c r="M448" s="172" t="n">
        <v>4</v>
      </c>
      <c r="N448" t="n">
        <v>0.3075</v>
      </c>
      <c r="O448" s="172" t="n">
        <v>8</v>
      </c>
      <c r="P448" t="n">
        <v>0.6149</v>
      </c>
      <c r="Q448" s="172" t="n">
        <v>26</v>
      </c>
      <c r="R448" s="172" t="n">
        <v>3</v>
      </c>
      <c r="S448" s="172" t="inlineStr">
        <is>
          <t>Census PEP Vintage 2025</t>
        </is>
      </c>
      <c r="T448" s="172" t="inlineStr">
        <is>
          <t>https://www2.census.gov/programs-surveys/popest/datasets/2020-2025/state/totals/NST-EST2025-ALLDATA.csv</t>
        </is>
      </c>
    </row>
    <row r="449">
      <c r="A449" s="172" t="n">
        <v>2023</v>
      </c>
      <c r="B449" t="inlineStr">
        <is>
          <t>RI</t>
        </is>
      </c>
      <c r="C449" t="inlineStr">
        <is>
          <t>44</t>
        </is>
      </c>
      <c r="D449" t="inlineStr">
        <is>
          <t>Rhode Island</t>
        </is>
      </c>
      <c r="E449" s="172" t="n">
        <v>2</v>
      </c>
      <c r="F449" s="172" t="n">
        <v>1101183</v>
      </c>
      <c r="G449" s="172" t="n">
        <v>0.1816</v>
      </c>
      <c r="H449" s="172" t="n">
        <v>1.8162</v>
      </c>
      <c r="I449" s="172" t="n">
        <v>0</v>
      </c>
      <c r="J449" t="n">
        <v>0</v>
      </c>
      <c r="K449" s="172" t="n">
        <v>1</v>
      </c>
      <c r="L449" t="n">
        <v>0.9081</v>
      </c>
      <c r="M449" s="172" t="n">
        <v>0</v>
      </c>
      <c r="N449" t="n">
        <v>0</v>
      </c>
      <c r="O449" s="172" t="n">
        <v>2</v>
      </c>
      <c r="P449" t="n">
        <v>1.8162</v>
      </c>
      <c r="Q449" s="172" t="n">
        <v>2</v>
      </c>
      <c r="R449" s="172" t="n">
        <v>0</v>
      </c>
      <c r="S449" s="172" t="inlineStr">
        <is>
          <t>Census PEP Vintage 2025</t>
        </is>
      </c>
      <c r="T449" s="172" t="inlineStr">
        <is>
          <t>https://www2.census.gov/programs-surveys/popest/datasets/2020-2025/state/totals/NST-EST2025-ALLDATA.csv</t>
        </is>
      </c>
    </row>
    <row r="450">
      <c r="A450" s="172" t="n">
        <v>2023</v>
      </c>
      <c r="B450" t="inlineStr">
        <is>
          <t>SC</t>
        </is>
      </c>
      <c r="C450" t="inlineStr">
        <is>
          <t>45</t>
        </is>
      </c>
      <c r="D450" t="inlineStr">
        <is>
          <t>South Carolina</t>
        </is>
      </c>
      <c r="E450" s="172" t="n">
        <v>21</v>
      </c>
      <c r="F450" s="172" t="n">
        <v>5390798</v>
      </c>
      <c r="G450" s="172" t="n">
        <v>0.3896</v>
      </c>
      <c r="H450" s="172" t="n">
        <v>3.8955</v>
      </c>
      <c r="I450" s="172" t="n">
        <v>0</v>
      </c>
      <c r="J450" t="n">
        <v>0</v>
      </c>
      <c r="K450" s="172" t="n">
        <v>18</v>
      </c>
      <c r="L450" t="n">
        <v>3.339</v>
      </c>
      <c r="M450" s="172" t="n">
        <v>4</v>
      </c>
      <c r="N450" t="n">
        <v>0.742</v>
      </c>
      <c r="O450" s="172" t="n">
        <v>2</v>
      </c>
      <c r="P450" t="n">
        <v>0.371</v>
      </c>
      <c r="Q450" s="172" t="n">
        <v>18</v>
      </c>
      <c r="R450" s="172" t="n">
        <v>3</v>
      </c>
      <c r="S450" s="172" t="inlineStr">
        <is>
          <t>Census PEP Vintage 2025</t>
        </is>
      </c>
      <c r="T450" s="172" t="inlineStr">
        <is>
          <t>https://www2.census.gov/programs-surveys/popest/datasets/2020-2025/state/totals/NST-EST2025-ALLDATA.csv</t>
        </is>
      </c>
    </row>
    <row r="451">
      <c r="A451" s="172" t="n">
        <v>2023</v>
      </c>
      <c r="B451" t="inlineStr">
        <is>
          <t>SD</t>
        </is>
      </c>
      <c r="C451" t="inlineStr">
        <is>
          <t>46</t>
        </is>
      </c>
      <c r="D451" t="inlineStr">
        <is>
          <t>South Dakota</t>
        </is>
      </c>
      <c r="E451" s="172" t="n">
        <v>3</v>
      </c>
      <c r="F451" s="172" t="n">
        <v>917739</v>
      </c>
      <c r="G451" s="172" t="n">
        <v>0.3269</v>
      </c>
      <c r="H451" s="172" t="n">
        <v>3.2689</v>
      </c>
      <c r="I451" s="172" t="n">
        <v>0</v>
      </c>
      <c r="J451" t="n">
        <v>0</v>
      </c>
      <c r="K451" s="172" t="n">
        <v>2</v>
      </c>
      <c r="L451" t="n">
        <v>2.1793</v>
      </c>
      <c r="M451" s="172" t="n">
        <v>0</v>
      </c>
      <c r="N451" t="n">
        <v>0</v>
      </c>
      <c r="O451" s="172" t="n">
        <v>3</v>
      </c>
      <c r="P451" t="n">
        <v>3.2689</v>
      </c>
      <c r="Q451" s="172" t="n">
        <v>3</v>
      </c>
      <c r="R451" s="172" t="n">
        <v>0</v>
      </c>
      <c r="S451" s="172" t="inlineStr">
        <is>
          <t>Census PEP Vintage 2025</t>
        </is>
      </c>
      <c r="T451" s="172" t="inlineStr">
        <is>
          <t>https://www2.census.gov/programs-surveys/popest/datasets/2020-2025/state/totals/NST-EST2025-ALLDATA.csv</t>
        </is>
      </c>
    </row>
    <row r="452">
      <c r="A452" s="172" t="n">
        <v>2023</v>
      </c>
      <c r="B452" t="inlineStr">
        <is>
          <t>TN</t>
        </is>
      </c>
      <c r="C452" t="inlineStr">
        <is>
          <t>47</t>
        </is>
      </c>
      <c r="D452" t="inlineStr">
        <is>
          <t>Tennessee</t>
        </is>
      </c>
      <c r="E452" s="172" t="n">
        <v>37</v>
      </c>
      <c r="F452" s="172" t="n">
        <v>7153029</v>
      </c>
      <c r="G452" s="172" t="n">
        <v>0.5173</v>
      </c>
      <c r="H452" s="172" t="n">
        <v>5.1726</v>
      </c>
      <c r="I452" s="172" t="n">
        <v>1</v>
      </c>
      <c r="J452" t="n">
        <v>0.1398</v>
      </c>
      <c r="K452" s="172" t="n">
        <v>25</v>
      </c>
      <c r="L452" t="n">
        <v>3.495</v>
      </c>
      <c r="M452" s="172" t="n">
        <v>5</v>
      </c>
      <c r="N452" t="n">
        <v>0.699</v>
      </c>
      <c r="O452" s="172" t="n">
        <v>10</v>
      </c>
      <c r="P452" t="n">
        <v>1.398</v>
      </c>
      <c r="Q452" s="172" t="n">
        <v>34</v>
      </c>
      <c r="R452" s="172" t="n">
        <v>3</v>
      </c>
      <c r="S452" s="172" t="inlineStr">
        <is>
          <t>Census PEP Vintage 2025</t>
        </is>
      </c>
      <c r="T452" s="172" t="inlineStr">
        <is>
          <t>https://www2.census.gov/programs-surveys/popest/datasets/2020-2025/state/totals/NST-EST2025-ALLDATA.csv</t>
        </is>
      </c>
    </row>
    <row r="453">
      <c r="A453" s="172" t="n">
        <v>2023</v>
      </c>
      <c r="B453" t="inlineStr">
        <is>
          <t>TX</t>
        </is>
      </c>
      <c r="C453" t="inlineStr">
        <is>
          <t>48</t>
        </is>
      </c>
      <c r="D453" t="inlineStr">
        <is>
          <t>Texas</t>
        </is>
      </c>
      <c r="E453" s="172" t="n">
        <v>127</v>
      </c>
      <c r="F453" s="172" t="n">
        <v>30719247</v>
      </c>
      <c r="G453" s="172" t="n">
        <v>0.4134</v>
      </c>
      <c r="H453" s="172" t="n">
        <v>4.1342</v>
      </c>
      <c r="I453" s="172" t="n">
        <v>6</v>
      </c>
      <c r="J453" t="n">
        <v>0.1953</v>
      </c>
      <c r="K453" s="172" t="n">
        <v>85</v>
      </c>
      <c r="L453" t="n">
        <v>2.767</v>
      </c>
      <c r="M453" s="172" t="n">
        <v>14</v>
      </c>
      <c r="N453" t="n">
        <v>0.4557</v>
      </c>
      <c r="O453" s="172" t="n">
        <v>41</v>
      </c>
      <c r="P453" t="n">
        <v>1.3347</v>
      </c>
      <c r="Q453" s="172" t="n">
        <v>126</v>
      </c>
      <c r="R453" s="172" t="n">
        <v>1</v>
      </c>
      <c r="S453" s="172" t="inlineStr">
        <is>
          <t>Census PEP Vintage 2025</t>
        </is>
      </c>
      <c r="T453" s="172" t="inlineStr">
        <is>
          <t>https://www2.census.gov/programs-surveys/popest/datasets/2020-2025/state/totals/NST-EST2025-ALLDATA.csv</t>
        </is>
      </c>
    </row>
    <row r="454">
      <c r="A454" s="172" t="n">
        <v>2023</v>
      </c>
      <c r="B454" t="inlineStr">
        <is>
          <t>UT</t>
        </is>
      </c>
      <c r="C454" t="inlineStr">
        <is>
          <t>49</t>
        </is>
      </c>
      <c r="D454" t="inlineStr">
        <is>
          <t>Utah</t>
        </is>
      </c>
      <c r="E454" s="172" t="n">
        <v>20</v>
      </c>
      <c r="F454" s="172" t="n">
        <v>3449259</v>
      </c>
      <c r="G454" s="172" t="n">
        <v>0.5798</v>
      </c>
      <c r="H454" s="172" t="n">
        <v>5.7983</v>
      </c>
      <c r="I454" s="172" t="n">
        <v>1</v>
      </c>
      <c r="J454" t="n">
        <v>0.2899</v>
      </c>
      <c r="K454" s="172" t="n">
        <v>12</v>
      </c>
      <c r="L454" t="n">
        <v>3.479</v>
      </c>
      <c r="M454" s="172" t="n">
        <v>4</v>
      </c>
      <c r="N454" t="n">
        <v>1.1597</v>
      </c>
      <c r="O454" s="172" t="n">
        <v>9</v>
      </c>
      <c r="P454" t="n">
        <v>2.6093</v>
      </c>
      <c r="Q454" s="172" t="n">
        <v>17</v>
      </c>
      <c r="R454" s="172" t="n">
        <v>3</v>
      </c>
      <c r="S454" s="172" t="inlineStr">
        <is>
          <t>Census PEP Vintage 2025</t>
        </is>
      </c>
      <c r="T454" s="172" t="inlineStr">
        <is>
          <t>https://www2.census.gov/programs-surveys/popest/datasets/2020-2025/state/totals/NST-EST2025-ALLDATA.csv</t>
        </is>
      </c>
    </row>
    <row r="455">
      <c r="A455" s="172" t="n">
        <v>2023</v>
      </c>
      <c r="B455" t="inlineStr">
        <is>
          <t>VA</t>
        </is>
      </c>
      <c r="C455" t="inlineStr">
        <is>
          <t>51</t>
        </is>
      </c>
      <c r="D455" t="inlineStr">
        <is>
          <t>Virginia</t>
        </is>
      </c>
      <c r="E455" s="172" t="n">
        <v>23</v>
      </c>
      <c r="F455" s="172" t="n">
        <v>8732034</v>
      </c>
      <c r="G455" s="172" t="n">
        <v>0.2634</v>
      </c>
      <c r="H455" s="172" t="n">
        <v>2.634</v>
      </c>
      <c r="I455" s="172" t="n">
        <v>2</v>
      </c>
      <c r="J455" t="n">
        <v>0.229</v>
      </c>
      <c r="K455" s="172" t="n">
        <v>14</v>
      </c>
      <c r="L455" t="n">
        <v>1.6033</v>
      </c>
      <c r="M455" s="172" t="n">
        <v>2</v>
      </c>
      <c r="N455" t="n">
        <v>0.229</v>
      </c>
      <c r="O455" s="172" t="n">
        <v>7</v>
      </c>
      <c r="P455" t="n">
        <v>0.8016</v>
      </c>
      <c r="Q455" s="172" t="n">
        <v>18</v>
      </c>
      <c r="R455" s="172" t="n">
        <v>5</v>
      </c>
      <c r="S455" s="172" t="inlineStr">
        <is>
          <t>Census PEP Vintage 2025</t>
        </is>
      </c>
      <c r="T455" s="172" t="inlineStr">
        <is>
          <t>https://www2.census.gov/programs-surveys/popest/datasets/2020-2025/state/totals/NST-EST2025-ALLDATA.csv</t>
        </is>
      </c>
    </row>
    <row r="456">
      <c r="A456" s="172" t="n">
        <v>2023</v>
      </c>
      <c r="B456" t="inlineStr">
        <is>
          <t>VT</t>
        </is>
      </c>
      <c r="C456" t="inlineStr">
        <is>
          <t>50</t>
        </is>
      </c>
      <c r="D456" t="inlineStr">
        <is>
          <t>Vermont</t>
        </is>
      </c>
      <c r="E456" s="172" t="n">
        <v>1</v>
      </c>
      <c r="F456" s="172" t="n">
        <v>647722</v>
      </c>
      <c r="G456" s="172" t="n">
        <v>0.1544</v>
      </c>
      <c r="H456" s="172" t="n">
        <v>1.5439</v>
      </c>
      <c r="I456" s="172" t="n">
        <v>0</v>
      </c>
      <c r="J456" t="n">
        <v>0</v>
      </c>
      <c r="K456" s="172" t="n">
        <v>0</v>
      </c>
      <c r="L456" t="n">
        <v>0</v>
      </c>
      <c r="M456" s="172" t="n">
        <v>0</v>
      </c>
      <c r="N456" t="n">
        <v>0</v>
      </c>
      <c r="O456" s="172" t="n">
        <v>0</v>
      </c>
      <c r="P456" t="n">
        <v>0</v>
      </c>
      <c r="Q456" s="172" t="n">
        <v>1</v>
      </c>
      <c r="R456" s="172" t="n">
        <v>0</v>
      </c>
      <c r="S456" s="172" t="inlineStr">
        <is>
          <t>Census PEP Vintage 2025</t>
        </is>
      </c>
      <c r="T456" s="172" t="inlineStr">
        <is>
          <t>https://www2.census.gov/programs-surveys/popest/datasets/2020-2025/state/totals/NST-EST2025-ALLDATA.csv</t>
        </is>
      </c>
    </row>
    <row r="457">
      <c r="A457" s="172" t="n">
        <v>2023</v>
      </c>
      <c r="B457" t="inlineStr">
        <is>
          <t>WA</t>
        </is>
      </c>
      <c r="C457" t="inlineStr">
        <is>
          <t>53</t>
        </is>
      </c>
      <c r="D457" t="inlineStr">
        <is>
          <t>Washington</t>
        </is>
      </c>
      <c r="E457" s="172" t="n">
        <v>22</v>
      </c>
      <c r="F457" s="172" t="n">
        <v>7838655</v>
      </c>
      <c r="G457" s="172" t="n">
        <v>0.2807</v>
      </c>
      <c r="H457" s="172" t="n">
        <v>2.8066</v>
      </c>
      <c r="I457" s="172" t="n">
        <v>1</v>
      </c>
      <c r="J457" t="n">
        <v>0.1276</v>
      </c>
      <c r="K457" s="172" t="n">
        <v>15</v>
      </c>
      <c r="L457" t="n">
        <v>1.9136</v>
      </c>
      <c r="M457" s="172" t="n">
        <v>1</v>
      </c>
      <c r="N457" t="n">
        <v>0.1276</v>
      </c>
      <c r="O457" s="172" t="n">
        <v>4</v>
      </c>
      <c r="P457" t="n">
        <v>0.5103</v>
      </c>
      <c r="Q457" s="172" t="n">
        <v>15</v>
      </c>
      <c r="R457" s="172" t="n">
        <v>7</v>
      </c>
      <c r="S457" s="172" t="inlineStr">
        <is>
          <t>Census PEP Vintage 2025</t>
        </is>
      </c>
      <c r="T457" s="172" t="inlineStr">
        <is>
          <t>https://www2.census.gov/programs-surveys/popest/datasets/2020-2025/state/totals/NST-EST2025-ALLDATA.csv</t>
        </is>
      </c>
    </row>
    <row r="458">
      <c r="A458" s="172" t="n">
        <v>2023</v>
      </c>
      <c r="B458" t="inlineStr">
        <is>
          <t>WI</t>
        </is>
      </c>
      <c r="C458" t="inlineStr">
        <is>
          <t>55</t>
        </is>
      </c>
      <c r="D458" t="inlineStr">
        <is>
          <t>Wisconsin</t>
        </is>
      </c>
      <c r="E458" s="172" t="n">
        <v>20</v>
      </c>
      <c r="F458" s="172" t="n">
        <v>5930350</v>
      </c>
      <c r="G458" s="172" t="n">
        <v>0.3372</v>
      </c>
      <c r="H458" s="172" t="n">
        <v>3.3725</v>
      </c>
      <c r="I458" s="172" t="n">
        <v>0</v>
      </c>
      <c r="J458" t="n">
        <v>0</v>
      </c>
      <c r="K458" s="172" t="n">
        <v>11</v>
      </c>
      <c r="L458" t="n">
        <v>1.8549</v>
      </c>
      <c r="M458" s="172" t="n">
        <v>2</v>
      </c>
      <c r="N458" t="n">
        <v>0.3372</v>
      </c>
      <c r="O458" s="172" t="n">
        <v>13</v>
      </c>
      <c r="P458" t="n">
        <v>2.1921</v>
      </c>
      <c r="Q458" s="172" t="n">
        <v>20</v>
      </c>
      <c r="R458" s="172" t="n">
        <v>0</v>
      </c>
      <c r="S458" s="172" t="inlineStr">
        <is>
          <t>Census PEP Vintage 2025</t>
        </is>
      </c>
      <c r="T458" s="172" t="inlineStr">
        <is>
          <t>https://www2.census.gov/programs-surveys/popest/datasets/2020-2025/state/totals/NST-EST2025-ALLDATA.csv</t>
        </is>
      </c>
    </row>
    <row r="459">
      <c r="A459" s="172" t="n">
        <v>2023</v>
      </c>
      <c r="B459" t="inlineStr">
        <is>
          <t>WV</t>
        </is>
      </c>
      <c r="C459" t="inlineStr">
        <is>
          <t>54</t>
        </is>
      </c>
      <c r="D459" t="inlineStr">
        <is>
          <t>West Virginia</t>
        </is>
      </c>
      <c r="E459" s="172" t="n">
        <v>14</v>
      </c>
      <c r="F459" s="172" t="n">
        <v>1770036</v>
      </c>
      <c r="G459" s="172" t="n">
        <v>0.7909</v>
      </c>
      <c r="H459" s="172" t="n">
        <v>7.9094</v>
      </c>
      <c r="I459" s="172" t="n">
        <v>1</v>
      </c>
      <c r="J459" t="n">
        <v>0.5649999999999999</v>
      </c>
      <c r="K459" s="172" t="n">
        <v>7</v>
      </c>
      <c r="L459" t="n">
        <v>3.9547</v>
      </c>
      <c r="M459" s="172" t="n">
        <v>0</v>
      </c>
      <c r="N459" t="n">
        <v>0</v>
      </c>
      <c r="O459" s="172" t="n">
        <v>3</v>
      </c>
      <c r="P459" t="n">
        <v>1.6949</v>
      </c>
      <c r="Q459" s="172" t="n">
        <v>12</v>
      </c>
      <c r="R459" s="172" t="n">
        <v>2</v>
      </c>
      <c r="S459" s="172" t="inlineStr">
        <is>
          <t>Census PEP Vintage 2025</t>
        </is>
      </c>
      <c r="T459" s="172" t="inlineStr">
        <is>
          <t>https://www2.census.gov/programs-surveys/popest/datasets/2020-2025/state/totals/NST-EST2025-ALLDATA.csv</t>
        </is>
      </c>
    </row>
    <row r="460">
      <c r="A460" s="172" t="n">
        <v>2023</v>
      </c>
      <c r="B460" t="inlineStr">
        <is>
          <t>WY</t>
        </is>
      </c>
      <c r="C460" t="inlineStr">
        <is>
          <t>56</t>
        </is>
      </c>
      <c r="D460" t="inlineStr">
        <is>
          <t>Wyoming</t>
        </is>
      </c>
      <c r="E460" s="172" t="n">
        <v>1</v>
      </c>
      <c r="F460" s="172" t="n">
        <v>584666</v>
      </c>
      <c r="G460" s="172" t="n">
        <v>0.171</v>
      </c>
      <c r="H460" s="172" t="n">
        <v>1.7104</v>
      </c>
      <c r="I460" s="172" t="n">
        <v>0</v>
      </c>
      <c r="J460" t="n">
        <v>0</v>
      </c>
      <c r="K460" s="172" t="n">
        <v>1</v>
      </c>
      <c r="L460" t="n">
        <v>1.7104</v>
      </c>
      <c r="M460" s="172" t="n">
        <v>0</v>
      </c>
      <c r="N460" t="n">
        <v>0</v>
      </c>
      <c r="O460" s="172" t="n">
        <v>0</v>
      </c>
      <c r="P460" t="n">
        <v>0</v>
      </c>
      <c r="Q460" s="172" t="n">
        <v>1</v>
      </c>
      <c r="R460" s="172" t="n">
        <v>0</v>
      </c>
      <c r="S460" s="172" t="inlineStr">
        <is>
          <t>Census PEP Vintage 2025</t>
        </is>
      </c>
      <c r="T460" s="172" t="inlineStr">
        <is>
          <t>https://www2.census.gov/programs-surveys/popest/datasets/2020-2025/state/totals/NST-EST2025-ALLDATA.csv</t>
        </is>
      </c>
    </row>
    <row r="461">
      <c r="A461" s="172" t="n">
        <v>2024</v>
      </c>
      <c r="B461" t="inlineStr">
        <is>
          <t>AK</t>
        </is>
      </c>
      <c r="C461" t="inlineStr">
        <is>
          <t>02</t>
        </is>
      </c>
      <c r="D461" t="inlineStr">
        <is>
          <t>Alaska</t>
        </is>
      </c>
      <c r="E461" s="172" t="n">
        <v>8</v>
      </c>
      <c r="F461" s="172" t="n">
        <v>736537</v>
      </c>
      <c r="G461" s="172" t="n">
        <v>1.0862</v>
      </c>
      <c r="H461" s="172" t="n">
        <v>10.8616</v>
      </c>
      <c r="I461" s="172" t="n">
        <v>0</v>
      </c>
      <c r="J461" t="n">
        <v>0</v>
      </c>
      <c r="K461" s="172" t="n">
        <v>3</v>
      </c>
      <c r="L461" t="n">
        <v>4.0731</v>
      </c>
      <c r="M461" s="172" t="n">
        <v>2</v>
      </c>
      <c r="N461" t="n">
        <v>2.7154</v>
      </c>
      <c r="O461" s="172" t="n">
        <v>5</v>
      </c>
      <c r="P461" t="n">
        <v>6.7885</v>
      </c>
      <c r="Q461" s="172" t="n">
        <v>4</v>
      </c>
      <c r="R461" s="172" t="n">
        <v>4</v>
      </c>
      <c r="S461" s="172" t="inlineStr">
        <is>
          <t>Census PEP Vintage 2025</t>
        </is>
      </c>
      <c r="T461" s="172" t="inlineStr">
        <is>
          <t>https://www2.census.gov/programs-surveys/popest/datasets/2020-2025/state/totals/NST-EST2025-ALLDATA.csv</t>
        </is>
      </c>
    </row>
    <row r="462">
      <c r="A462" s="172" t="n">
        <v>2024</v>
      </c>
      <c r="B462" t="inlineStr">
        <is>
          <t>AL</t>
        </is>
      </c>
      <c r="C462" t="inlineStr">
        <is>
          <t>01</t>
        </is>
      </c>
      <c r="D462" t="inlineStr">
        <is>
          <t>Alabama</t>
        </is>
      </c>
      <c r="E462" s="172" t="n">
        <v>21</v>
      </c>
      <c r="F462" s="172" t="n">
        <v>5163055</v>
      </c>
      <c r="G462" s="172" t="n">
        <v>0.4067</v>
      </c>
      <c r="H462" s="172" t="n">
        <v>4.0674</v>
      </c>
      <c r="I462" s="172" t="n">
        <v>0</v>
      </c>
      <c r="J462" t="n">
        <v>0</v>
      </c>
      <c r="K462" s="172" t="n">
        <v>12</v>
      </c>
      <c r="L462" t="n">
        <v>2.3242</v>
      </c>
      <c r="M462" s="172" t="n">
        <v>6</v>
      </c>
      <c r="N462" t="n">
        <v>1.1621</v>
      </c>
      <c r="O462" s="172" t="n">
        <v>4</v>
      </c>
      <c r="P462" t="n">
        <v>0.7747000000000001</v>
      </c>
      <c r="Q462" s="172" t="n">
        <v>15</v>
      </c>
      <c r="R462" s="172" t="n">
        <v>6</v>
      </c>
      <c r="S462" s="172" t="inlineStr">
        <is>
          <t>Census PEP Vintage 2025</t>
        </is>
      </c>
      <c r="T462" s="172" t="inlineStr">
        <is>
          <t>https://www2.census.gov/programs-surveys/popest/datasets/2020-2025/state/totals/NST-EST2025-ALLDATA.csv</t>
        </is>
      </c>
    </row>
    <row r="463">
      <c r="A463" s="172" t="n">
        <v>2024</v>
      </c>
      <c r="B463" t="inlineStr">
        <is>
          <t>AR</t>
        </is>
      </c>
      <c r="C463" t="inlineStr">
        <is>
          <t>05</t>
        </is>
      </c>
      <c r="D463" t="inlineStr">
        <is>
          <t>Arkansas</t>
        </is>
      </c>
      <c r="E463" s="172" t="n">
        <v>17</v>
      </c>
      <c r="F463" s="172" t="n">
        <v>3096080</v>
      </c>
      <c r="G463" s="172" t="n">
        <v>0.5491</v>
      </c>
      <c r="H463" s="172" t="n">
        <v>5.4908</v>
      </c>
      <c r="I463" s="172" t="n">
        <v>0</v>
      </c>
      <c r="J463" t="n">
        <v>0</v>
      </c>
      <c r="K463" s="172" t="n">
        <v>10</v>
      </c>
      <c r="L463" t="n">
        <v>3.2299</v>
      </c>
      <c r="M463" s="172" t="n">
        <v>1</v>
      </c>
      <c r="N463" t="n">
        <v>0.323</v>
      </c>
      <c r="O463" s="172" t="n">
        <v>2</v>
      </c>
      <c r="P463" t="n">
        <v>0.646</v>
      </c>
      <c r="Q463" s="172" t="n">
        <v>13</v>
      </c>
      <c r="R463" s="172" t="n">
        <v>4</v>
      </c>
      <c r="S463" s="172" t="inlineStr">
        <is>
          <t>Census PEP Vintage 2025</t>
        </is>
      </c>
      <c r="T463" s="172" t="inlineStr">
        <is>
          <t>https://www2.census.gov/programs-surveys/popest/datasets/2020-2025/state/totals/NST-EST2025-ALLDATA.csv</t>
        </is>
      </c>
    </row>
    <row r="464">
      <c r="A464" s="172" t="n">
        <v>2024</v>
      </c>
      <c r="B464" t="inlineStr">
        <is>
          <t>AZ</t>
        </is>
      </c>
      <c r="C464" t="inlineStr">
        <is>
          <t>04</t>
        </is>
      </c>
      <c r="D464" t="inlineStr">
        <is>
          <t>Arizona</t>
        </is>
      </c>
      <c r="E464" s="172" t="n">
        <v>48</v>
      </c>
      <c r="F464" s="172" t="n">
        <v>7556424</v>
      </c>
      <c r="G464" s="172" t="n">
        <v>0.6352</v>
      </c>
      <c r="H464" s="172" t="n">
        <v>6.3522</v>
      </c>
      <c r="I464" s="172" t="n">
        <v>1</v>
      </c>
      <c r="J464" t="n">
        <v>0.1323</v>
      </c>
      <c r="K464" s="172" t="n">
        <v>31</v>
      </c>
      <c r="L464" t="n">
        <v>4.1025</v>
      </c>
      <c r="M464" s="172" t="n">
        <v>3</v>
      </c>
      <c r="N464" t="n">
        <v>0.397</v>
      </c>
      <c r="O464" s="172" t="n">
        <v>9</v>
      </c>
      <c r="P464" t="n">
        <v>1.191</v>
      </c>
      <c r="Q464" s="172" t="n">
        <v>33</v>
      </c>
      <c r="R464" s="172" t="n">
        <v>15</v>
      </c>
      <c r="S464" s="172" t="inlineStr">
        <is>
          <t>Census PEP Vintage 2025</t>
        </is>
      </c>
      <c r="T464" s="172" t="inlineStr">
        <is>
          <t>https://www2.census.gov/programs-surveys/popest/datasets/2020-2025/state/totals/NST-EST2025-ALLDATA.csv</t>
        </is>
      </c>
    </row>
    <row r="465">
      <c r="A465" s="172" t="n">
        <v>2024</v>
      </c>
      <c r="B465" t="inlineStr">
        <is>
          <t>CA</t>
        </is>
      </c>
      <c r="C465" t="inlineStr">
        <is>
          <t>06</t>
        </is>
      </c>
      <c r="D465" t="inlineStr">
        <is>
          <t>California</t>
        </is>
      </c>
      <c r="E465" s="172" t="n">
        <v>111</v>
      </c>
      <c r="F465" s="172" t="n">
        <v>39364774</v>
      </c>
      <c r="G465" s="172" t="n">
        <v>0.282</v>
      </c>
      <c r="H465" s="172" t="n">
        <v>2.8198</v>
      </c>
      <c r="I465" s="172" t="n">
        <v>1</v>
      </c>
      <c r="J465" t="n">
        <v>0.0254</v>
      </c>
      <c r="K465" s="172" t="n">
        <v>51</v>
      </c>
      <c r="L465" t="n">
        <v>1.2956</v>
      </c>
      <c r="M465" s="172" t="n">
        <v>16</v>
      </c>
      <c r="N465" t="n">
        <v>0.4065</v>
      </c>
      <c r="O465" s="172" t="n">
        <v>26</v>
      </c>
      <c r="P465" t="n">
        <v>0.6605</v>
      </c>
      <c r="Q465" s="172" t="n">
        <v>75</v>
      </c>
      <c r="R465" s="172" t="n">
        <v>36</v>
      </c>
      <c r="S465" s="172" t="inlineStr">
        <is>
          <t>Census PEP Vintage 2025</t>
        </is>
      </c>
      <c r="T465" s="172" t="inlineStr">
        <is>
          <t>https://www2.census.gov/programs-surveys/popest/datasets/2020-2025/state/totals/NST-EST2025-ALLDATA.csv</t>
        </is>
      </c>
    </row>
    <row r="466">
      <c r="A466" s="172" t="n">
        <v>2024</v>
      </c>
      <c r="B466" t="inlineStr">
        <is>
          <t>CO</t>
        </is>
      </c>
      <c r="C466" t="inlineStr">
        <is>
          <t>08</t>
        </is>
      </c>
      <c r="D466" t="inlineStr">
        <is>
          <t>Colorado</t>
        </is>
      </c>
      <c r="E466" s="172" t="n">
        <v>38</v>
      </c>
      <c r="F466" s="172" t="n">
        <v>5988502</v>
      </c>
      <c r="G466" s="172" t="n">
        <v>0.6345</v>
      </c>
      <c r="H466" s="172" t="n">
        <v>6.3455</v>
      </c>
      <c r="I466" s="172" t="n">
        <v>1</v>
      </c>
      <c r="J466" t="n">
        <v>0.167</v>
      </c>
      <c r="K466" s="172" t="n">
        <v>26</v>
      </c>
      <c r="L466" t="n">
        <v>4.3417</v>
      </c>
      <c r="M466" s="172" t="n">
        <v>5</v>
      </c>
      <c r="N466" t="n">
        <v>0.8349</v>
      </c>
      <c r="O466" s="172" t="n">
        <v>5</v>
      </c>
      <c r="P466" t="n">
        <v>0.8349</v>
      </c>
      <c r="Q466" s="172" t="n">
        <v>19</v>
      </c>
      <c r="R466" s="172" t="n">
        <v>19</v>
      </c>
      <c r="S466" s="172" t="inlineStr">
        <is>
          <t>Census PEP Vintage 2025</t>
        </is>
      </c>
      <c r="T466" s="172" t="inlineStr">
        <is>
          <t>https://www2.census.gov/programs-surveys/popest/datasets/2020-2025/state/totals/NST-EST2025-ALLDATA.csv</t>
        </is>
      </c>
    </row>
    <row r="467">
      <c r="A467" s="172" t="n">
        <v>2024</v>
      </c>
      <c r="B467" t="inlineStr">
        <is>
          <t>CT</t>
        </is>
      </c>
      <c r="C467" t="inlineStr">
        <is>
          <t>09</t>
        </is>
      </c>
      <c r="D467" t="inlineStr">
        <is>
          <t>Connecticut</t>
        </is>
      </c>
      <c r="E467" s="172" t="n">
        <v>3</v>
      </c>
      <c r="F467" s="172" t="n">
        <v>3674449</v>
      </c>
      <c r="G467" s="172" t="n">
        <v>0.08160000000000001</v>
      </c>
      <c r="H467" s="172" t="n">
        <v>0.8164</v>
      </c>
      <c r="I467" s="172" t="n">
        <v>0</v>
      </c>
      <c r="J467" t="n">
        <v>0</v>
      </c>
      <c r="K467" s="172" t="n">
        <v>2</v>
      </c>
      <c r="L467" t="n">
        <v>0.5443</v>
      </c>
      <c r="M467" s="172" t="n">
        <v>0</v>
      </c>
      <c r="N467" t="n">
        <v>0</v>
      </c>
      <c r="O467" s="172" t="n">
        <v>2</v>
      </c>
      <c r="P467" t="n">
        <v>0.5443</v>
      </c>
      <c r="Q467" s="172" t="n">
        <v>3</v>
      </c>
      <c r="R467" s="172" t="n">
        <v>0</v>
      </c>
      <c r="S467" s="172" t="inlineStr">
        <is>
          <t>Census PEP Vintage 2025</t>
        </is>
      </c>
      <c r="T467" s="172" t="inlineStr">
        <is>
          <t>https://www2.census.gov/programs-surveys/popest/datasets/2020-2025/state/totals/NST-EST2025-ALLDATA.csv</t>
        </is>
      </c>
    </row>
    <row r="468">
      <c r="A468" s="172" t="n">
        <v>2024</v>
      </c>
      <c r="B468" t="inlineStr">
        <is>
          <t>DC</t>
        </is>
      </c>
      <c r="C468" t="inlineStr">
        <is>
          <t>11</t>
        </is>
      </c>
      <c r="D468" t="inlineStr">
        <is>
          <t>District of Columbia</t>
        </is>
      </c>
      <c r="E468" s="172" t="n">
        <v>2</v>
      </c>
      <c r="F468" s="172" t="n">
        <v>691310</v>
      </c>
      <c r="G468" s="172" t="n">
        <v>0.2893</v>
      </c>
      <c r="H468" s="172" t="n">
        <v>2.8931</v>
      </c>
      <c r="I468" s="172" t="n">
        <v>0</v>
      </c>
      <c r="J468" t="n">
        <v>0</v>
      </c>
      <c r="K468" s="172" t="n">
        <v>1</v>
      </c>
      <c r="L468" t="n">
        <v>1.4465</v>
      </c>
      <c r="M468" s="172" t="n">
        <v>1</v>
      </c>
      <c r="N468" t="n">
        <v>1.4465</v>
      </c>
      <c r="O468" s="172" t="n">
        <v>2</v>
      </c>
      <c r="P468" t="n">
        <v>2.8931</v>
      </c>
      <c r="Q468" s="172" t="n">
        <v>2</v>
      </c>
      <c r="R468" s="172" t="n">
        <v>0</v>
      </c>
      <c r="S468" s="172" t="inlineStr">
        <is>
          <t>Census PEP Vintage 2025</t>
        </is>
      </c>
      <c r="T468" s="172" t="inlineStr">
        <is>
          <t>https://www2.census.gov/programs-surveys/popest/datasets/2020-2025/state/totals/NST-EST2025-ALLDATA.csv</t>
        </is>
      </c>
    </row>
    <row r="469">
      <c r="A469" s="172" t="n">
        <v>2024</v>
      </c>
      <c r="B469" t="inlineStr">
        <is>
          <t>DE</t>
        </is>
      </c>
      <c r="C469" t="inlineStr">
        <is>
          <t>10</t>
        </is>
      </c>
      <c r="D469" t="inlineStr">
        <is>
          <t>Delaware</t>
        </is>
      </c>
      <c r="E469" s="172" t="n">
        <v>2</v>
      </c>
      <c r="F469" s="172" t="n">
        <v>1050123</v>
      </c>
      <c r="G469" s="172" t="n">
        <v>0.1905</v>
      </c>
      <c r="H469" s="172" t="n">
        <v>1.9045</v>
      </c>
      <c r="I469" s="172" t="n">
        <v>0</v>
      </c>
      <c r="J469" t="n">
        <v>0</v>
      </c>
      <c r="K469" s="172" t="n">
        <v>2</v>
      </c>
      <c r="L469" t="n">
        <v>1.9045</v>
      </c>
      <c r="M469" s="172" t="n">
        <v>0</v>
      </c>
      <c r="N469" t="n">
        <v>0</v>
      </c>
      <c r="O469" s="172" t="n">
        <v>0</v>
      </c>
      <c r="P469" t="n">
        <v>0</v>
      </c>
      <c r="Q469" s="172" t="n">
        <v>0</v>
      </c>
      <c r="R469" s="172" t="n">
        <v>2</v>
      </c>
      <c r="S469" s="172" t="inlineStr">
        <is>
          <t>Census PEP Vintage 2025</t>
        </is>
      </c>
      <c r="T469" s="172" t="inlineStr">
        <is>
          <t>https://www2.census.gov/programs-surveys/popest/datasets/2020-2025/state/totals/NST-EST2025-ALLDATA.csv</t>
        </is>
      </c>
    </row>
    <row r="470">
      <c r="A470" s="172" t="n">
        <v>2024</v>
      </c>
      <c r="B470" t="inlineStr">
        <is>
          <t>FL</t>
        </is>
      </c>
      <c r="C470" t="inlineStr">
        <is>
          <t>12</t>
        </is>
      </c>
      <c r="D470" t="inlineStr">
        <is>
          <t>Florida</t>
        </is>
      </c>
      <c r="E470" s="172" t="n">
        <v>81</v>
      </c>
      <c r="F470" s="172" t="n">
        <v>23265838</v>
      </c>
      <c r="G470" s="172" t="n">
        <v>0.3481</v>
      </c>
      <c r="H470" s="172" t="n">
        <v>3.4815</v>
      </c>
      <c r="I470" s="172" t="n">
        <v>4</v>
      </c>
      <c r="J470" t="n">
        <v>0.1719</v>
      </c>
      <c r="K470" s="172" t="n">
        <v>42</v>
      </c>
      <c r="L470" t="n">
        <v>1.8052</v>
      </c>
      <c r="M470" s="172" t="n">
        <v>16</v>
      </c>
      <c r="N470" t="n">
        <v>0.6877</v>
      </c>
      <c r="O470" s="172" t="n">
        <v>18</v>
      </c>
      <c r="P470" t="n">
        <v>0.7737000000000001</v>
      </c>
      <c r="Q470" s="172" t="n">
        <v>56</v>
      </c>
      <c r="R470" s="172" t="n">
        <v>25</v>
      </c>
      <c r="S470" s="172" t="inlineStr">
        <is>
          <t>Census PEP Vintage 2025</t>
        </is>
      </c>
      <c r="T470" s="172" t="inlineStr">
        <is>
          <t>https://www2.census.gov/programs-surveys/popest/datasets/2020-2025/state/totals/NST-EST2025-ALLDATA.csv</t>
        </is>
      </c>
    </row>
    <row r="471">
      <c r="A471" s="172" t="n">
        <v>2024</v>
      </c>
      <c r="B471" t="inlineStr">
        <is>
          <t>GA</t>
        </is>
      </c>
      <c r="C471" t="inlineStr">
        <is>
          <t>13</t>
        </is>
      </c>
      <c r="D471" t="inlineStr">
        <is>
          <t>Georgia</t>
        </is>
      </c>
      <c r="E471" s="172" t="n">
        <v>38</v>
      </c>
      <c r="F471" s="172" t="n">
        <v>11204208</v>
      </c>
      <c r="G471" s="172" t="n">
        <v>0.3392</v>
      </c>
      <c r="H471" s="172" t="n">
        <v>3.3916</v>
      </c>
      <c r="I471" s="172" t="n">
        <v>1</v>
      </c>
      <c r="J471" t="n">
        <v>0.0893</v>
      </c>
      <c r="K471" s="172" t="n">
        <v>22</v>
      </c>
      <c r="L471" t="n">
        <v>1.9635</v>
      </c>
      <c r="M471" s="172" t="n">
        <v>4</v>
      </c>
      <c r="N471" t="n">
        <v>0.357</v>
      </c>
      <c r="O471" s="172" t="n">
        <v>2</v>
      </c>
      <c r="P471" t="n">
        <v>0.1785</v>
      </c>
      <c r="Q471" s="172" t="n">
        <v>30</v>
      </c>
      <c r="R471" s="172" t="n">
        <v>8</v>
      </c>
      <c r="S471" s="172" t="inlineStr">
        <is>
          <t>Census PEP Vintage 2025</t>
        </is>
      </c>
      <c r="T471" s="172" t="inlineStr">
        <is>
          <t>https://www2.census.gov/programs-surveys/popest/datasets/2020-2025/state/totals/NST-EST2025-ALLDATA.csv</t>
        </is>
      </c>
    </row>
    <row r="472">
      <c r="A472" s="172" t="n">
        <v>2024</v>
      </c>
      <c r="B472" t="inlineStr">
        <is>
          <t>HI</t>
        </is>
      </c>
      <c r="C472" t="inlineStr">
        <is>
          <t>15</t>
        </is>
      </c>
      <c r="D472" t="inlineStr">
        <is>
          <t>Hawaii</t>
        </is>
      </c>
      <c r="E472" s="172" t="n">
        <v>4</v>
      </c>
      <c r="F472" s="172" t="n">
        <v>1434952</v>
      </c>
      <c r="G472" s="172" t="n">
        <v>0.2788</v>
      </c>
      <c r="H472" s="172" t="n">
        <v>2.7875</v>
      </c>
      <c r="I472" s="172" t="n">
        <v>0</v>
      </c>
      <c r="J472" t="n">
        <v>0</v>
      </c>
      <c r="K472" s="172" t="n">
        <v>3</v>
      </c>
      <c r="L472" t="n">
        <v>2.0907</v>
      </c>
      <c r="M472" s="172" t="n">
        <v>0</v>
      </c>
      <c r="N472" t="n">
        <v>0</v>
      </c>
      <c r="O472" s="172" t="n">
        <v>0</v>
      </c>
      <c r="P472" t="n">
        <v>0</v>
      </c>
      <c r="Q472" s="172" t="n">
        <v>3</v>
      </c>
      <c r="R472" s="172" t="n">
        <v>1</v>
      </c>
      <c r="S472" s="172" t="inlineStr">
        <is>
          <t>Census PEP Vintage 2025</t>
        </is>
      </c>
      <c r="T472" s="172" t="inlineStr">
        <is>
          <t>https://www2.census.gov/programs-surveys/popest/datasets/2020-2025/state/totals/NST-EST2025-ALLDATA.csv</t>
        </is>
      </c>
    </row>
    <row r="473">
      <c r="A473" s="172" t="n">
        <v>2024</v>
      </c>
      <c r="B473" t="inlineStr">
        <is>
          <t>IA</t>
        </is>
      </c>
      <c r="C473" t="inlineStr">
        <is>
          <t>19</t>
        </is>
      </c>
      <c r="D473" t="inlineStr">
        <is>
          <t>Iowa</t>
        </is>
      </c>
      <c r="E473" s="172" t="n">
        <v>9</v>
      </c>
      <c r="F473" s="172" t="n">
        <v>3230454</v>
      </c>
      <c r="G473" s="172" t="n">
        <v>0.2786</v>
      </c>
      <c r="H473" s="172" t="n">
        <v>2.786</v>
      </c>
      <c r="I473" s="172" t="n">
        <v>0</v>
      </c>
      <c r="J473" t="n">
        <v>0</v>
      </c>
      <c r="K473" s="172" t="n">
        <v>6</v>
      </c>
      <c r="L473" t="n">
        <v>1.8573</v>
      </c>
      <c r="M473" s="172" t="n">
        <v>3</v>
      </c>
      <c r="N473" t="n">
        <v>0.9287</v>
      </c>
      <c r="O473" s="172" t="n">
        <v>1</v>
      </c>
      <c r="P473" t="n">
        <v>0.3096</v>
      </c>
      <c r="Q473" s="172" t="n">
        <v>6</v>
      </c>
      <c r="R473" s="172" t="n">
        <v>3</v>
      </c>
      <c r="S473" s="172" t="inlineStr">
        <is>
          <t>Census PEP Vintage 2025</t>
        </is>
      </c>
      <c r="T473" s="172" t="inlineStr">
        <is>
          <t>https://www2.census.gov/programs-surveys/popest/datasets/2020-2025/state/totals/NST-EST2025-ALLDATA.csv</t>
        </is>
      </c>
    </row>
    <row r="474">
      <c r="A474" s="172" t="n">
        <v>2024</v>
      </c>
      <c r="B474" t="inlineStr">
        <is>
          <t>ID</t>
        </is>
      </c>
      <c r="C474" t="inlineStr">
        <is>
          <t>16</t>
        </is>
      </c>
      <c r="D474" t="inlineStr">
        <is>
          <t>Idaho</t>
        </is>
      </c>
      <c r="E474" s="172" t="n">
        <v>11</v>
      </c>
      <c r="F474" s="172" t="n">
        <v>2000872</v>
      </c>
      <c r="G474" s="172" t="n">
        <v>0.5498</v>
      </c>
      <c r="H474" s="172" t="n">
        <v>5.4976</v>
      </c>
      <c r="I474" s="172" t="n">
        <v>0</v>
      </c>
      <c r="J474" t="n">
        <v>0</v>
      </c>
      <c r="K474" s="172" t="n">
        <v>5</v>
      </c>
      <c r="L474" t="n">
        <v>2.4989</v>
      </c>
      <c r="M474" s="172" t="n">
        <v>0</v>
      </c>
      <c r="N474" t="n">
        <v>0</v>
      </c>
      <c r="O474" s="172" t="n">
        <v>2</v>
      </c>
      <c r="P474" t="n">
        <v>0.9996</v>
      </c>
      <c r="Q474" s="172" t="n">
        <v>7</v>
      </c>
      <c r="R474" s="172" t="n">
        <v>4</v>
      </c>
      <c r="S474" s="172" t="inlineStr">
        <is>
          <t>Census PEP Vintage 2025</t>
        </is>
      </c>
      <c r="T474" s="172" t="inlineStr">
        <is>
          <t>https://www2.census.gov/programs-surveys/popest/datasets/2020-2025/state/totals/NST-EST2025-ALLDATA.csv</t>
        </is>
      </c>
    </row>
    <row r="475">
      <c r="A475" s="172" t="n">
        <v>2024</v>
      </c>
      <c r="B475" t="inlineStr">
        <is>
          <t>IL</t>
        </is>
      </c>
      <c r="C475" t="inlineStr">
        <is>
          <t>17</t>
        </is>
      </c>
      <c r="D475" t="inlineStr">
        <is>
          <t>Illinois</t>
        </is>
      </c>
      <c r="E475" s="172" t="n">
        <v>23</v>
      </c>
      <c r="F475" s="172" t="n">
        <v>12703033</v>
      </c>
      <c r="G475" s="172" t="n">
        <v>0.1811</v>
      </c>
      <c r="H475" s="172" t="n">
        <v>1.8106</v>
      </c>
      <c r="I475" s="172" t="n">
        <v>2</v>
      </c>
      <c r="J475" t="n">
        <v>0.1574</v>
      </c>
      <c r="K475" s="172" t="n">
        <v>14</v>
      </c>
      <c r="L475" t="n">
        <v>1.1021</v>
      </c>
      <c r="M475" s="172" t="n">
        <v>4</v>
      </c>
      <c r="N475" t="n">
        <v>0.3149</v>
      </c>
      <c r="O475" s="172" t="n">
        <v>5</v>
      </c>
      <c r="P475" t="n">
        <v>0.3936</v>
      </c>
      <c r="Q475" s="172" t="n">
        <v>19</v>
      </c>
      <c r="R475" s="172" t="n">
        <v>4</v>
      </c>
      <c r="S475" s="172" t="inlineStr">
        <is>
          <t>Census PEP Vintage 2025</t>
        </is>
      </c>
      <c r="T475" s="172" t="inlineStr">
        <is>
          <t>https://www2.census.gov/programs-surveys/popest/datasets/2020-2025/state/totals/NST-EST2025-ALLDATA.csv</t>
        </is>
      </c>
    </row>
    <row r="476">
      <c r="A476" s="172" t="n">
        <v>2024</v>
      </c>
      <c r="B476" t="inlineStr">
        <is>
          <t>IN</t>
        </is>
      </c>
      <c r="C476" t="inlineStr">
        <is>
          <t>18</t>
        </is>
      </c>
      <c r="D476" t="inlineStr">
        <is>
          <t>Indiana</t>
        </is>
      </c>
      <c r="E476" s="172" t="n">
        <v>32</v>
      </c>
      <c r="F476" s="172" t="n">
        <v>6934754</v>
      </c>
      <c r="G476" s="172" t="n">
        <v>0.4614</v>
      </c>
      <c r="H476" s="172" t="n">
        <v>4.6144</v>
      </c>
      <c r="I476" s="172" t="n">
        <v>0</v>
      </c>
      <c r="J476" t="n">
        <v>0</v>
      </c>
      <c r="K476" s="172" t="n">
        <v>21</v>
      </c>
      <c r="L476" t="n">
        <v>3.0282</v>
      </c>
      <c r="M476" s="172" t="n">
        <v>4</v>
      </c>
      <c r="N476" t="n">
        <v>0.5768</v>
      </c>
      <c r="O476" s="172" t="n">
        <v>15</v>
      </c>
      <c r="P476" t="n">
        <v>2.163</v>
      </c>
      <c r="Q476" s="172" t="n">
        <v>28</v>
      </c>
      <c r="R476" s="172" t="n">
        <v>4</v>
      </c>
      <c r="S476" s="172" t="inlineStr">
        <is>
          <t>Census PEP Vintage 2025</t>
        </is>
      </c>
      <c r="T476" s="172" t="inlineStr">
        <is>
          <t>https://www2.census.gov/programs-surveys/popest/datasets/2020-2025/state/totals/NST-EST2025-ALLDATA.csv</t>
        </is>
      </c>
    </row>
    <row r="477">
      <c r="A477" s="172" t="n">
        <v>2024</v>
      </c>
      <c r="B477" t="inlineStr">
        <is>
          <t>KS</t>
        </is>
      </c>
      <c r="C477" t="inlineStr">
        <is>
          <t>20</t>
        </is>
      </c>
      <c r="D477" t="inlineStr">
        <is>
          <t>Kansas</t>
        </is>
      </c>
      <c r="E477" s="172" t="n">
        <v>13</v>
      </c>
      <c r="F477" s="172" t="n">
        <v>2965252</v>
      </c>
      <c r="G477" s="172" t="n">
        <v>0.4384</v>
      </c>
      <c r="H477" s="172" t="n">
        <v>4.3841</v>
      </c>
      <c r="I477" s="172" t="n">
        <v>2</v>
      </c>
      <c r="J477" t="n">
        <v>0.6745</v>
      </c>
      <c r="K477" s="172" t="n">
        <v>8</v>
      </c>
      <c r="L477" t="n">
        <v>2.6979</v>
      </c>
      <c r="M477" s="172" t="n">
        <v>2</v>
      </c>
      <c r="N477" t="n">
        <v>0.6745</v>
      </c>
      <c r="O477" s="172" t="n">
        <v>3</v>
      </c>
      <c r="P477" t="n">
        <v>1.0117</v>
      </c>
      <c r="Q477" s="172" t="n">
        <v>8</v>
      </c>
      <c r="R477" s="172" t="n">
        <v>5</v>
      </c>
      <c r="S477" s="172" t="inlineStr">
        <is>
          <t>Census PEP Vintage 2025</t>
        </is>
      </c>
      <c r="T477" s="172" t="inlineStr">
        <is>
          <t>https://www2.census.gov/programs-surveys/popest/datasets/2020-2025/state/totals/NST-EST2025-ALLDATA.csv</t>
        </is>
      </c>
    </row>
    <row r="478">
      <c r="A478" s="172" t="n">
        <v>2024</v>
      </c>
      <c r="B478" t="inlineStr">
        <is>
          <t>KY</t>
        </is>
      </c>
      <c r="C478" t="inlineStr">
        <is>
          <t>21</t>
        </is>
      </c>
      <c r="D478" t="inlineStr">
        <is>
          <t>Kentucky</t>
        </is>
      </c>
      <c r="E478" s="172" t="n">
        <v>17</v>
      </c>
      <c r="F478" s="172" t="n">
        <v>4584046</v>
      </c>
      <c r="G478" s="172" t="n">
        <v>0.3709</v>
      </c>
      <c r="H478" s="172" t="n">
        <v>3.7085</v>
      </c>
      <c r="I478" s="172" t="n">
        <v>0</v>
      </c>
      <c r="J478" t="n">
        <v>0</v>
      </c>
      <c r="K478" s="172" t="n">
        <v>8</v>
      </c>
      <c r="L478" t="n">
        <v>1.7452</v>
      </c>
      <c r="M478" s="172" t="n">
        <v>4</v>
      </c>
      <c r="N478" t="n">
        <v>0.8726</v>
      </c>
      <c r="O478" s="172" t="n">
        <v>7</v>
      </c>
      <c r="P478" t="n">
        <v>1.527</v>
      </c>
      <c r="Q478" s="172" t="n">
        <v>11</v>
      </c>
      <c r="R478" s="172" t="n">
        <v>6</v>
      </c>
      <c r="S478" s="172" t="inlineStr">
        <is>
          <t>Census PEP Vintage 2025</t>
        </is>
      </c>
      <c r="T478" s="172" t="inlineStr">
        <is>
          <t>https://www2.census.gov/programs-surveys/popest/datasets/2020-2025/state/totals/NST-EST2025-ALLDATA.csv</t>
        </is>
      </c>
    </row>
    <row r="479">
      <c r="A479" s="172" t="n">
        <v>2024</v>
      </c>
      <c r="B479" t="inlineStr">
        <is>
          <t>LA</t>
        </is>
      </c>
      <c r="C479" t="inlineStr">
        <is>
          <t>22</t>
        </is>
      </c>
      <c r="D479" t="inlineStr">
        <is>
          <t>Louisiana</t>
        </is>
      </c>
      <c r="E479" s="172" t="n">
        <v>20</v>
      </c>
      <c r="F479" s="172" t="n">
        <v>4614878</v>
      </c>
      <c r="G479" s="172" t="n">
        <v>0.4334</v>
      </c>
      <c r="H479" s="172" t="n">
        <v>4.3338</v>
      </c>
      <c r="I479" s="172" t="n">
        <v>1</v>
      </c>
      <c r="J479" t="n">
        <v>0.2167</v>
      </c>
      <c r="K479" s="172" t="n">
        <v>10</v>
      </c>
      <c r="L479" t="n">
        <v>2.1669</v>
      </c>
      <c r="M479" s="172" t="n">
        <v>1</v>
      </c>
      <c r="N479" t="n">
        <v>0.2167</v>
      </c>
      <c r="O479" s="172" t="n">
        <v>1</v>
      </c>
      <c r="P479" t="n">
        <v>0.2167</v>
      </c>
      <c r="Q479" s="172" t="n">
        <v>18</v>
      </c>
      <c r="R479" s="172" t="n">
        <v>2</v>
      </c>
      <c r="S479" s="172" t="inlineStr">
        <is>
          <t>Census PEP Vintage 2025</t>
        </is>
      </c>
      <c r="T479" s="172" t="inlineStr">
        <is>
          <t>https://www2.census.gov/programs-surveys/popest/datasets/2020-2025/state/totals/NST-EST2025-ALLDATA.csv</t>
        </is>
      </c>
    </row>
    <row r="480">
      <c r="A480" s="172" t="n">
        <v>2024</v>
      </c>
      <c r="B480" t="inlineStr">
        <is>
          <t>MA</t>
        </is>
      </c>
      <c r="C480" t="inlineStr">
        <is>
          <t>25</t>
        </is>
      </c>
      <c r="D480" t="inlineStr">
        <is>
          <t>Massachusetts</t>
        </is>
      </c>
      <c r="E480" s="172" t="n">
        <v>2</v>
      </c>
      <c r="F480" s="172" t="n">
        <v>7138560</v>
      </c>
      <c r="G480" s="172" t="n">
        <v>0.028</v>
      </c>
      <c r="H480" s="172" t="n">
        <v>0.2802</v>
      </c>
      <c r="I480" s="172" t="n">
        <v>0</v>
      </c>
      <c r="J480" t="n">
        <v>0</v>
      </c>
      <c r="K480" s="172" t="n">
        <v>2</v>
      </c>
      <c r="L480" t="n">
        <v>0.2802</v>
      </c>
      <c r="M480" s="172" t="n">
        <v>0</v>
      </c>
      <c r="N480" t="n">
        <v>0</v>
      </c>
      <c r="O480" s="172" t="n">
        <v>1</v>
      </c>
      <c r="P480" t="n">
        <v>0.1401</v>
      </c>
      <c r="Q480" s="172" t="n">
        <v>2</v>
      </c>
      <c r="R480" s="172" t="n">
        <v>0</v>
      </c>
      <c r="S480" s="172" t="inlineStr">
        <is>
          <t>Census PEP Vintage 2025</t>
        </is>
      </c>
      <c r="T480" s="172" t="inlineStr">
        <is>
          <t>https://www2.census.gov/programs-surveys/popest/datasets/2020-2025/state/totals/NST-EST2025-ALLDATA.csv</t>
        </is>
      </c>
    </row>
    <row r="481">
      <c r="A481" s="172" t="n">
        <v>2024</v>
      </c>
      <c r="B481" t="inlineStr">
        <is>
          <t>MD</t>
        </is>
      </c>
      <c r="C481" t="inlineStr">
        <is>
          <t>24</t>
        </is>
      </c>
      <c r="D481" t="inlineStr">
        <is>
          <t>Maryland</t>
        </is>
      </c>
      <c r="E481" s="172" t="n">
        <v>11</v>
      </c>
      <c r="F481" s="172" t="n">
        <v>6245314</v>
      </c>
      <c r="G481" s="172" t="n">
        <v>0.1761</v>
      </c>
      <c r="H481" s="172" t="n">
        <v>1.7613</v>
      </c>
      <c r="I481" s="172" t="n">
        <v>0</v>
      </c>
      <c r="J481" t="n">
        <v>0</v>
      </c>
      <c r="K481" s="172" t="n">
        <v>6</v>
      </c>
      <c r="L481" t="n">
        <v>0.9607</v>
      </c>
      <c r="M481" s="172" t="n">
        <v>2</v>
      </c>
      <c r="N481" t="n">
        <v>0.3202</v>
      </c>
      <c r="O481" s="172" t="n">
        <v>8</v>
      </c>
      <c r="P481" t="n">
        <v>1.281</v>
      </c>
      <c r="Q481" s="172" t="n">
        <v>11</v>
      </c>
      <c r="R481" s="172" t="n">
        <v>0</v>
      </c>
      <c r="S481" s="172" t="inlineStr">
        <is>
          <t>Census PEP Vintage 2025</t>
        </is>
      </c>
      <c r="T481" s="172" t="inlineStr">
        <is>
          <t>https://www2.census.gov/programs-surveys/popest/datasets/2020-2025/state/totals/NST-EST2025-ALLDATA.csv</t>
        </is>
      </c>
    </row>
    <row r="482">
      <c r="A482" s="172" t="n">
        <v>2024</v>
      </c>
      <c r="B482" t="inlineStr">
        <is>
          <t>ME</t>
        </is>
      </c>
      <c r="C482" t="inlineStr">
        <is>
          <t>23</t>
        </is>
      </c>
      <c r="D482" t="inlineStr">
        <is>
          <t>Maine</t>
        </is>
      </c>
      <c r="E482" s="172" t="n">
        <v>10</v>
      </c>
      <c r="F482" s="172" t="n">
        <v>1408438</v>
      </c>
      <c r="G482" s="172" t="n">
        <v>0.71</v>
      </c>
      <c r="H482" s="172" t="n">
        <v>7.1001</v>
      </c>
      <c r="I482" s="172" t="n">
        <v>0</v>
      </c>
      <c r="J482" t="n">
        <v>0</v>
      </c>
      <c r="K482" s="172" t="n">
        <v>6</v>
      </c>
      <c r="L482" t="n">
        <v>4.26</v>
      </c>
      <c r="M482" s="172" t="n">
        <v>3</v>
      </c>
      <c r="N482" t="n">
        <v>2.13</v>
      </c>
      <c r="O482" s="172" t="n">
        <v>0</v>
      </c>
      <c r="P482" t="n">
        <v>0</v>
      </c>
      <c r="Q482" s="172" t="n">
        <v>8</v>
      </c>
      <c r="R482" s="172" t="n">
        <v>2</v>
      </c>
      <c r="S482" s="172" t="inlineStr">
        <is>
          <t>Census PEP Vintage 2025</t>
        </is>
      </c>
      <c r="T482" s="172" t="inlineStr">
        <is>
          <t>https://www2.census.gov/programs-surveys/popest/datasets/2020-2025/state/totals/NST-EST2025-ALLDATA.csv</t>
        </is>
      </c>
    </row>
    <row r="483">
      <c r="A483" s="172" t="n">
        <v>2024</v>
      </c>
      <c r="B483" t="inlineStr">
        <is>
          <t>MI</t>
        </is>
      </c>
      <c r="C483" t="inlineStr">
        <is>
          <t>26</t>
        </is>
      </c>
      <c r="D483" t="inlineStr">
        <is>
          <t>Michigan</t>
        </is>
      </c>
      <c r="E483" s="172" t="n">
        <v>21</v>
      </c>
      <c r="F483" s="172" t="n">
        <v>10099962</v>
      </c>
      <c r="G483" s="172" t="n">
        <v>0.2079</v>
      </c>
      <c r="H483" s="172" t="n">
        <v>2.0792</v>
      </c>
      <c r="I483" s="172" t="n">
        <v>0</v>
      </c>
      <c r="J483" t="n">
        <v>0</v>
      </c>
      <c r="K483" s="172" t="n">
        <v>13</v>
      </c>
      <c r="L483" t="n">
        <v>1.2871</v>
      </c>
      <c r="M483" s="172" t="n">
        <v>8</v>
      </c>
      <c r="N483" t="n">
        <v>0.7921</v>
      </c>
      <c r="O483" s="172" t="n">
        <v>5</v>
      </c>
      <c r="P483" t="n">
        <v>0.4951</v>
      </c>
      <c r="Q483" s="172" t="n">
        <v>17</v>
      </c>
      <c r="R483" s="172" t="n">
        <v>4</v>
      </c>
      <c r="S483" s="172" t="inlineStr">
        <is>
          <t>Census PEP Vintage 2025</t>
        </is>
      </c>
      <c r="T483" s="172" t="inlineStr">
        <is>
          <t>https://www2.census.gov/programs-surveys/popest/datasets/2020-2025/state/totals/NST-EST2025-ALLDATA.csv</t>
        </is>
      </c>
    </row>
    <row r="484">
      <c r="A484" s="172" t="n">
        <v>2024</v>
      </c>
      <c r="B484" t="inlineStr">
        <is>
          <t>MN</t>
        </is>
      </c>
      <c r="C484" t="inlineStr">
        <is>
          <t>27</t>
        </is>
      </c>
      <c r="D484" t="inlineStr">
        <is>
          <t>Minnesota</t>
        </is>
      </c>
      <c r="E484" s="172" t="n">
        <v>11</v>
      </c>
      <c r="F484" s="172" t="n">
        <v>5797405</v>
      </c>
      <c r="G484" s="172" t="n">
        <v>0.1897</v>
      </c>
      <c r="H484" s="172" t="n">
        <v>1.8974</v>
      </c>
      <c r="I484" s="172" t="n">
        <v>1</v>
      </c>
      <c r="J484" t="n">
        <v>0.1725</v>
      </c>
      <c r="K484" s="172" t="n">
        <v>7</v>
      </c>
      <c r="L484" t="n">
        <v>1.2074</v>
      </c>
      <c r="M484" s="172" t="n">
        <v>2</v>
      </c>
      <c r="N484" t="n">
        <v>0.345</v>
      </c>
      <c r="O484" s="172" t="n">
        <v>6</v>
      </c>
      <c r="P484" t="n">
        <v>1.0349</v>
      </c>
      <c r="Q484" s="172" t="n">
        <v>10</v>
      </c>
      <c r="R484" s="172" t="n">
        <v>1</v>
      </c>
      <c r="S484" s="172" t="inlineStr">
        <is>
          <t>Census PEP Vintage 2025</t>
        </is>
      </c>
      <c r="T484" s="172" t="inlineStr">
        <is>
          <t>https://www2.census.gov/programs-surveys/popest/datasets/2020-2025/state/totals/NST-EST2025-ALLDATA.csv</t>
        </is>
      </c>
    </row>
    <row r="485">
      <c r="A485" s="172" t="n">
        <v>2024</v>
      </c>
      <c r="B485" t="inlineStr">
        <is>
          <t>MO</t>
        </is>
      </c>
      <c r="C485" t="inlineStr">
        <is>
          <t>29</t>
        </is>
      </c>
      <c r="D485" t="inlineStr">
        <is>
          <t>Missouri</t>
        </is>
      </c>
      <c r="E485" s="172" t="n">
        <v>26</v>
      </c>
      <c r="F485" s="172" t="n">
        <v>6243544</v>
      </c>
      <c r="G485" s="172" t="n">
        <v>0.4164</v>
      </c>
      <c r="H485" s="172" t="n">
        <v>4.1643</v>
      </c>
      <c r="I485" s="172" t="n">
        <v>1</v>
      </c>
      <c r="J485" t="n">
        <v>0.1602</v>
      </c>
      <c r="K485" s="172" t="n">
        <v>12</v>
      </c>
      <c r="L485" t="n">
        <v>1.922</v>
      </c>
      <c r="M485" s="172" t="n">
        <v>4</v>
      </c>
      <c r="N485" t="n">
        <v>0.6407</v>
      </c>
      <c r="O485" s="172" t="n">
        <v>0</v>
      </c>
      <c r="P485" t="n">
        <v>0</v>
      </c>
      <c r="Q485" s="172" t="n">
        <v>17</v>
      </c>
      <c r="R485" s="172" t="n">
        <v>9</v>
      </c>
      <c r="S485" s="172" t="inlineStr">
        <is>
          <t>Census PEP Vintage 2025</t>
        </is>
      </c>
      <c r="T485" s="172" t="inlineStr">
        <is>
          <t>https://www2.census.gov/programs-surveys/popest/datasets/2020-2025/state/totals/NST-EST2025-ALLDATA.csv</t>
        </is>
      </c>
    </row>
    <row r="486">
      <c r="A486" s="172" t="n">
        <v>2024</v>
      </c>
      <c r="B486" t="inlineStr">
        <is>
          <t>MS</t>
        </is>
      </c>
      <c r="C486" t="inlineStr">
        <is>
          <t>28</t>
        </is>
      </c>
      <c r="D486" t="inlineStr">
        <is>
          <t>Mississippi</t>
        </is>
      </c>
      <c r="E486" s="172" t="n">
        <v>17</v>
      </c>
      <c r="F486" s="172" t="n">
        <v>2950172</v>
      </c>
      <c r="G486" s="172" t="n">
        <v>0.5762</v>
      </c>
      <c r="H486" s="172" t="n">
        <v>5.7624</v>
      </c>
      <c r="I486" s="172" t="n">
        <v>0</v>
      </c>
      <c r="J486" t="n">
        <v>0</v>
      </c>
      <c r="K486" s="172" t="n">
        <v>12</v>
      </c>
      <c r="L486" t="n">
        <v>4.0676</v>
      </c>
      <c r="M486" s="172" t="n">
        <v>0</v>
      </c>
      <c r="N486" t="n">
        <v>0</v>
      </c>
      <c r="O486" s="172" t="n">
        <v>1</v>
      </c>
      <c r="P486" t="n">
        <v>0.339</v>
      </c>
      <c r="Q486" s="172" t="n">
        <v>8</v>
      </c>
      <c r="R486" s="172" t="n">
        <v>9</v>
      </c>
      <c r="S486" s="172" t="inlineStr">
        <is>
          <t>Census PEP Vintage 2025</t>
        </is>
      </c>
      <c r="T486" s="172" t="inlineStr">
        <is>
          <t>https://www2.census.gov/programs-surveys/popest/datasets/2020-2025/state/totals/NST-EST2025-ALLDATA.csv</t>
        </is>
      </c>
    </row>
    <row r="487">
      <c r="A487" s="172" t="n">
        <v>2024</v>
      </c>
      <c r="B487" t="inlineStr">
        <is>
          <t>MT</t>
        </is>
      </c>
      <c r="C487" t="inlineStr">
        <is>
          <t>30</t>
        </is>
      </c>
      <c r="D487" t="inlineStr">
        <is>
          <t>Montana</t>
        </is>
      </c>
      <c r="E487" s="172" t="n">
        <v>11</v>
      </c>
      <c r="F487" s="172" t="n">
        <v>1137557</v>
      </c>
      <c r="G487" s="172" t="n">
        <v>0.967</v>
      </c>
      <c r="H487" s="172" t="n">
        <v>9.6698</v>
      </c>
      <c r="I487" s="172" t="n">
        <v>0</v>
      </c>
      <c r="J487" t="n">
        <v>0</v>
      </c>
      <c r="K487" s="172" t="n">
        <v>4</v>
      </c>
      <c r="L487" t="n">
        <v>3.5163</v>
      </c>
      <c r="M487" s="172" t="n">
        <v>1</v>
      </c>
      <c r="N487" t="n">
        <v>0.8791</v>
      </c>
      <c r="O487" s="172" t="n">
        <v>1</v>
      </c>
      <c r="P487" t="n">
        <v>0.8791</v>
      </c>
      <c r="Q487" s="172" t="n">
        <v>8</v>
      </c>
      <c r="R487" s="172" t="n">
        <v>3</v>
      </c>
      <c r="S487" s="172" t="inlineStr">
        <is>
          <t>Census PEP Vintage 2025</t>
        </is>
      </c>
      <c r="T487" s="172" t="inlineStr">
        <is>
          <t>https://www2.census.gov/programs-surveys/popest/datasets/2020-2025/state/totals/NST-EST2025-ALLDATA.csv</t>
        </is>
      </c>
    </row>
    <row r="488">
      <c r="A488" s="172" t="n">
        <v>2024</v>
      </c>
      <c r="B488" t="inlineStr">
        <is>
          <t>NC</t>
        </is>
      </c>
      <c r="C488" t="inlineStr">
        <is>
          <t>37</t>
        </is>
      </c>
      <c r="D488" t="inlineStr">
        <is>
          <t>North Carolina</t>
        </is>
      </c>
      <c r="E488" s="172" t="n">
        <v>41</v>
      </c>
      <c r="F488" s="172" t="n">
        <v>11052061</v>
      </c>
      <c r="G488" s="172" t="n">
        <v>0.371</v>
      </c>
      <c r="H488" s="172" t="n">
        <v>3.7097</v>
      </c>
      <c r="I488" s="172" t="n">
        <v>2</v>
      </c>
      <c r="J488" t="n">
        <v>0.181</v>
      </c>
      <c r="K488" s="172" t="n">
        <v>27</v>
      </c>
      <c r="L488" t="n">
        <v>2.443</v>
      </c>
      <c r="M488" s="172" t="n">
        <v>4</v>
      </c>
      <c r="N488" t="n">
        <v>0.3619</v>
      </c>
      <c r="O488" s="172" t="n">
        <v>2</v>
      </c>
      <c r="P488" t="n">
        <v>0.181</v>
      </c>
      <c r="Q488" s="172" t="n">
        <v>31</v>
      </c>
      <c r="R488" s="172" t="n">
        <v>10</v>
      </c>
      <c r="S488" s="172" t="inlineStr">
        <is>
          <t>Census PEP Vintage 2025</t>
        </is>
      </c>
      <c r="T488" s="172" t="inlineStr">
        <is>
          <t>https://www2.census.gov/programs-surveys/popest/datasets/2020-2025/state/totals/NST-EST2025-ALLDATA.csv</t>
        </is>
      </c>
    </row>
    <row r="489">
      <c r="A489" s="172" t="n">
        <v>2024</v>
      </c>
      <c r="B489" t="inlineStr">
        <is>
          <t>ND</t>
        </is>
      </c>
      <c r="C489" t="inlineStr">
        <is>
          <t>38</t>
        </is>
      </c>
      <c r="D489" t="inlineStr">
        <is>
          <t>North Dakota</t>
        </is>
      </c>
      <c r="E489" s="172" t="n">
        <v>7</v>
      </c>
      <c r="F489" s="172" t="n">
        <v>793387</v>
      </c>
      <c r="G489" s="172" t="n">
        <v>0.8823</v>
      </c>
      <c r="H489" s="172" t="n">
        <v>8.822900000000001</v>
      </c>
      <c r="I489" s="172" t="n">
        <v>0</v>
      </c>
      <c r="J489" t="n">
        <v>0</v>
      </c>
      <c r="K489" s="172" t="n">
        <v>4</v>
      </c>
      <c r="L489" t="n">
        <v>5.0417</v>
      </c>
      <c r="M489" s="172" t="n">
        <v>2</v>
      </c>
      <c r="N489" t="n">
        <v>2.5208</v>
      </c>
      <c r="O489" s="172" t="n">
        <v>1</v>
      </c>
      <c r="P489" t="n">
        <v>1.2604</v>
      </c>
      <c r="Q489" s="172" t="n">
        <v>3</v>
      </c>
      <c r="R489" s="172" t="n">
        <v>4</v>
      </c>
      <c r="S489" s="172" t="inlineStr">
        <is>
          <t>Census PEP Vintage 2025</t>
        </is>
      </c>
      <c r="T489" s="172" t="inlineStr">
        <is>
          <t>https://www2.census.gov/programs-surveys/popest/datasets/2020-2025/state/totals/NST-EST2025-ALLDATA.csv</t>
        </is>
      </c>
    </row>
    <row r="490">
      <c r="A490" s="172" t="n">
        <v>2024</v>
      </c>
      <c r="B490" t="inlineStr">
        <is>
          <t>NE</t>
        </is>
      </c>
      <c r="C490" t="inlineStr">
        <is>
          <t>31</t>
        </is>
      </c>
      <c r="D490" t="inlineStr">
        <is>
          <t>Nebraska</t>
        </is>
      </c>
      <c r="E490" s="172" t="n">
        <v>4</v>
      </c>
      <c r="F490" s="172" t="n">
        <v>2005591</v>
      </c>
      <c r="G490" s="172" t="n">
        <v>0.1994</v>
      </c>
      <c r="H490" s="172" t="n">
        <v>1.9944</v>
      </c>
      <c r="I490" s="172" t="n">
        <v>1</v>
      </c>
      <c r="J490" t="n">
        <v>0.4986</v>
      </c>
      <c r="K490" s="172" t="n">
        <v>1</v>
      </c>
      <c r="L490" t="n">
        <v>0.4986</v>
      </c>
      <c r="M490" s="172" t="n">
        <v>0</v>
      </c>
      <c r="N490" t="n">
        <v>0</v>
      </c>
      <c r="O490" s="172" t="n">
        <v>2</v>
      </c>
      <c r="P490" t="n">
        <v>0.9972</v>
      </c>
      <c r="Q490" s="172" t="n">
        <v>3</v>
      </c>
      <c r="R490" s="172" t="n">
        <v>1</v>
      </c>
      <c r="S490" s="172" t="inlineStr">
        <is>
          <t>Census PEP Vintage 2025</t>
        </is>
      </c>
      <c r="T490" s="172" t="inlineStr">
        <is>
          <t>https://www2.census.gov/programs-surveys/popest/datasets/2020-2025/state/totals/NST-EST2025-ALLDATA.csv</t>
        </is>
      </c>
    </row>
    <row r="491">
      <c r="A491" s="172" t="n">
        <v>2024</v>
      </c>
      <c r="B491" t="inlineStr">
        <is>
          <t>NH</t>
        </is>
      </c>
      <c r="C491" t="inlineStr">
        <is>
          <t>33</t>
        </is>
      </c>
      <c r="D491" t="inlineStr">
        <is>
          <t>New Hampshire</t>
        </is>
      </c>
      <c r="E491" s="172" t="n">
        <v>7</v>
      </c>
      <c r="F491" s="172" t="n">
        <v>1408518</v>
      </c>
      <c r="G491" s="172" t="n">
        <v>0.497</v>
      </c>
      <c r="H491" s="172" t="n">
        <v>4.9698</v>
      </c>
      <c r="I491" s="172" t="n">
        <v>0</v>
      </c>
      <c r="J491" t="n">
        <v>0</v>
      </c>
      <c r="K491" s="172" t="n">
        <v>5</v>
      </c>
      <c r="L491" t="n">
        <v>3.5498</v>
      </c>
      <c r="M491" s="172" t="n">
        <v>1</v>
      </c>
      <c r="N491" t="n">
        <v>0.71</v>
      </c>
      <c r="O491" s="172" t="n">
        <v>1</v>
      </c>
      <c r="P491" t="n">
        <v>0.71</v>
      </c>
      <c r="Q491" s="172" t="n">
        <v>5</v>
      </c>
      <c r="R491" s="172" t="n">
        <v>2</v>
      </c>
      <c r="S491" s="172" t="inlineStr">
        <is>
          <t>Census PEP Vintage 2025</t>
        </is>
      </c>
      <c r="T491" s="172" t="inlineStr">
        <is>
          <t>https://www2.census.gov/programs-surveys/popest/datasets/2020-2025/state/totals/NST-EST2025-ALLDATA.csv</t>
        </is>
      </c>
    </row>
    <row r="492">
      <c r="A492" s="172" t="n">
        <v>2024</v>
      </c>
      <c r="B492" t="inlineStr">
        <is>
          <t>NJ</t>
        </is>
      </c>
      <c r="C492" t="inlineStr">
        <is>
          <t>34</t>
        </is>
      </c>
      <c r="D492" t="inlineStr">
        <is>
          <t>New Jersey</t>
        </is>
      </c>
      <c r="E492" s="172" t="n">
        <v>7</v>
      </c>
      <c r="F492" s="172" t="n">
        <v>9506354</v>
      </c>
      <c r="G492" s="172" t="n">
        <v>0.0736</v>
      </c>
      <c r="H492" s="172" t="n">
        <v>0.7363</v>
      </c>
      <c r="I492" s="172" t="n">
        <v>0</v>
      </c>
      <c r="J492" t="n">
        <v>0</v>
      </c>
      <c r="K492" s="172" t="n">
        <v>4</v>
      </c>
      <c r="L492" t="n">
        <v>0.4208</v>
      </c>
      <c r="M492" s="172" t="n">
        <v>1</v>
      </c>
      <c r="N492" t="n">
        <v>0.1052</v>
      </c>
      <c r="O492" s="172" t="n">
        <v>0</v>
      </c>
      <c r="P492" t="n">
        <v>0</v>
      </c>
      <c r="Q492" s="172" t="n">
        <v>5</v>
      </c>
      <c r="R492" s="172" t="n">
        <v>2</v>
      </c>
      <c r="S492" s="172" t="inlineStr">
        <is>
          <t>Census PEP Vintage 2025</t>
        </is>
      </c>
      <c r="T492" s="172" t="inlineStr">
        <is>
          <t>https://www2.census.gov/programs-surveys/popest/datasets/2020-2025/state/totals/NST-EST2025-ALLDATA.csv</t>
        </is>
      </c>
    </row>
    <row r="493">
      <c r="A493" s="172" t="n">
        <v>2024</v>
      </c>
      <c r="B493" t="inlineStr">
        <is>
          <t>NM</t>
        </is>
      </c>
      <c r="C493" t="inlineStr">
        <is>
          <t>35</t>
        </is>
      </c>
      <c r="D493" t="inlineStr">
        <is>
          <t>New Mexico</t>
        </is>
      </c>
      <c r="E493" s="172" t="n">
        <v>25</v>
      </c>
      <c r="F493" s="172" t="n">
        <v>2126774</v>
      </c>
      <c r="G493" s="172" t="n">
        <v>1.1755</v>
      </c>
      <c r="H493" s="172" t="n">
        <v>11.7549</v>
      </c>
      <c r="I493" s="172" t="n">
        <v>1</v>
      </c>
      <c r="J493" t="n">
        <v>0.4702</v>
      </c>
      <c r="K493" s="172" t="n">
        <v>19</v>
      </c>
      <c r="L493" t="n">
        <v>8.9337</v>
      </c>
      <c r="M493" s="172" t="n">
        <v>3</v>
      </c>
      <c r="N493" t="n">
        <v>1.4106</v>
      </c>
      <c r="O493" s="172" t="n">
        <v>5</v>
      </c>
      <c r="P493" t="n">
        <v>2.351</v>
      </c>
      <c r="Q493" s="172" t="n">
        <v>16</v>
      </c>
      <c r="R493" s="172" t="n">
        <v>9</v>
      </c>
      <c r="S493" s="172" t="inlineStr">
        <is>
          <t>Census PEP Vintage 2025</t>
        </is>
      </c>
      <c r="T493" s="172" t="inlineStr">
        <is>
          <t>https://www2.census.gov/programs-surveys/popest/datasets/2020-2025/state/totals/NST-EST2025-ALLDATA.csv</t>
        </is>
      </c>
    </row>
    <row r="494">
      <c r="A494" s="172" t="n">
        <v>2024</v>
      </c>
      <c r="B494" t="inlineStr">
        <is>
          <t>NV</t>
        </is>
      </c>
      <c r="C494" t="inlineStr">
        <is>
          <t>32</t>
        </is>
      </c>
      <c r="D494" t="inlineStr">
        <is>
          <t>Nevada</t>
        </is>
      </c>
      <c r="E494" s="172" t="n">
        <v>18</v>
      </c>
      <c r="F494" s="172" t="n">
        <v>3253543</v>
      </c>
      <c r="G494" s="172" t="n">
        <v>0.5532</v>
      </c>
      <c r="H494" s="172" t="n">
        <v>5.5324</v>
      </c>
      <c r="I494" s="172" t="n">
        <v>1</v>
      </c>
      <c r="J494" t="n">
        <v>0.3074</v>
      </c>
      <c r="K494" s="172" t="n">
        <v>9</v>
      </c>
      <c r="L494" t="n">
        <v>2.7662</v>
      </c>
      <c r="M494" s="172" t="n">
        <v>1</v>
      </c>
      <c r="N494" t="n">
        <v>0.3074</v>
      </c>
      <c r="O494" s="172" t="n">
        <v>5</v>
      </c>
      <c r="P494" t="n">
        <v>1.5368</v>
      </c>
      <c r="Q494" s="172" t="n">
        <v>14</v>
      </c>
      <c r="R494" s="172" t="n">
        <v>4</v>
      </c>
      <c r="S494" s="172" t="inlineStr">
        <is>
          <t>Census PEP Vintage 2025</t>
        </is>
      </c>
      <c r="T494" s="172" t="inlineStr">
        <is>
          <t>https://www2.census.gov/programs-surveys/popest/datasets/2020-2025/state/totals/NST-EST2025-ALLDATA.csv</t>
        </is>
      </c>
    </row>
    <row r="495">
      <c r="A495" s="172" t="n">
        <v>2024</v>
      </c>
      <c r="B495" t="inlineStr">
        <is>
          <t>NY</t>
        </is>
      </c>
      <c r="C495" t="inlineStr">
        <is>
          <t>36</t>
        </is>
      </c>
      <c r="D495" t="inlineStr">
        <is>
          <t>New York</t>
        </is>
      </c>
      <c r="E495" s="172" t="n">
        <v>27</v>
      </c>
      <c r="F495" s="172" t="n">
        <v>20001419</v>
      </c>
      <c r="G495" s="172" t="n">
        <v>0.135</v>
      </c>
      <c r="H495" s="172" t="n">
        <v>1.3499</v>
      </c>
      <c r="I495" s="172" t="n">
        <v>0</v>
      </c>
      <c r="J495" t="n">
        <v>0</v>
      </c>
      <c r="K495" s="172" t="n">
        <v>12</v>
      </c>
      <c r="L495" t="n">
        <v>0.6</v>
      </c>
      <c r="M495" s="172" t="n">
        <v>5</v>
      </c>
      <c r="N495" t="n">
        <v>0.25</v>
      </c>
      <c r="O495" s="172" t="n">
        <v>9</v>
      </c>
      <c r="P495" t="n">
        <v>0.45</v>
      </c>
      <c r="Q495" s="172" t="n">
        <v>22</v>
      </c>
      <c r="R495" s="172" t="n">
        <v>5</v>
      </c>
      <c r="S495" s="172" t="inlineStr">
        <is>
          <t>Census PEP Vintage 2025</t>
        </is>
      </c>
      <c r="T495" s="172" t="inlineStr">
        <is>
          <t>https://www2.census.gov/programs-surveys/popest/datasets/2020-2025/state/totals/NST-EST2025-ALLDATA.csv</t>
        </is>
      </c>
    </row>
    <row r="496">
      <c r="A496" s="172" t="n">
        <v>2024</v>
      </c>
      <c r="B496" t="inlineStr">
        <is>
          <t>OH</t>
        </is>
      </c>
      <c r="C496" t="inlineStr">
        <is>
          <t>39</t>
        </is>
      </c>
      <c r="D496" t="inlineStr">
        <is>
          <t>Ohio</t>
        </is>
      </c>
      <c r="E496" s="172" t="n">
        <v>45</v>
      </c>
      <c r="F496" s="172" t="n">
        <v>11860621</v>
      </c>
      <c r="G496" s="172" t="n">
        <v>0.3794</v>
      </c>
      <c r="H496" s="172" t="n">
        <v>3.7941</v>
      </c>
      <c r="I496" s="172" t="n">
        <v>0</v>
      </c>
      <c r="J496" t="n">
        <v>0</v>
      </c>
      <c r="K496" s="172" t="n">
        <v>25</v>
      </c>
      <c r="L496" t="n">
        <v>2.1078</v>
      </c>
      <c r="M496" s="172" t="n">
        <v>11</v>
      </c>
      <c r="N496" t="n">
        <v>0.9274</v>
      </c>
      <c r="O496" s="172" t="n">
        <v>15</v>
      </c>
      <c r="P496" t="n">
        <v>1.2647</v>
      </c>
      <c r="Q496" s="172" t="n">
        <v>33</v>
      </c>
      <c r="R496" s="172" t="n">
        <v>12</v>
      </c>
      <c r="S496" s="172" t="inlineStr">
        <is>
          <t>Census PEP Vintage 2025</t>
        </is>
      </c>
      <c r="T496" s="172" t="inlineStr">
        <is>
          <t>https://www2.census.gov/programs-surveys/popest/datasets/2020-2025/state/totals/NST-EST2025-ALLDATA.csv</t>
        </is>
      </c>
    </row>
    <row r="497">
      <c r="A497" s="172" t="n">
        <v>2024</v>
      </c>
      <c r="B497" t="inlineStr">
        <is>
          <t>OK</t>
        </is>
      </c>
      <c r="C497" t="inlineStr">
        <is>
          <t>40</t>
        </is>
      </c>
      <c r="D497" t="inlineStr">
        <is>
          <t>Oklahoma</t>
        </is>
      </c>
      <c r="E497" s="172" t="n">
        <v>17</v>
      </c>
      <c r="F497" s="172" t="n">
        <v>4097758</v>
      </c>
      <c r="G497" s="172" t="n">
        <v>0.4149</v>
      </c>
      <c r="H497" s="172" t="n">
        <v>4.1486</v>
      </c>
      <c r="I497" s="172" t="n">
        <v>1</v>
      </c>
      <c r="J497" t="n">
        <v>0.244</v>
      </c>
      <c r="K497" s="172" t="n">
        <v>12</v>
      </c>
      <c r="L497" t="n">
        <v>2.9284</v>
      </c>
      <c r="M497" s="172" t="n">
        <v>3</v>
      </c>
      <c r="N497" t="n">
        <v>0.7321</v>
      </c>
      <c r="O497" s="172" t="n">
        <v>1</v>
      </c>
      <c r="P497" t="n">
        <v>0.244</v>
      </c>
      <c r="Q497" s="172" t="n">
        <v>12</v>
      </c>
      <c r="R497" s="172" t="n">
        <v>5</v>
      </c>
      <c r="S497" s="172" t="inlineStr">
        <is>
          <t>Census PEP Vintage 2025</t>
        </is>
      </c>
      <c r="T497" s="172" t="inlineStr">
        <is>
          <t>https://www2.census.gov/programs-surveys/popest/datasets/2020-2025/state/totals/NST-EST2025-ALLDATA.csv</t>
        </is>
      </c>
    </row>
    <row r="498">
      <c r="A498" s="172" t="n">
        <v>2024</v>
      </c>
      <c r="B498" t="inlineStr">
        <is>
          <t>OR</t>
        </is>
      </c>
      <c r="C498" t="inlineStr">
        <is>
          <t>41</t>
        </is>
      </c>
      <c r="D498" t="inlineStr">
        <is>
          <t>Oregon</t>
        </is>
      </c>
      <c r="E498" s="172" t="n">
        <v>16</v>
      </c>
      <c r="F498" s="172" t="n">
        <v>4265324</v>
      </c>
      <c r="G498" s="172" t="n">
        <v>0.3751</v>
      </c>
      <c r="H498" s="172" t="n">
        <v>3.7512</v>
      </c>
      <c r="I498" s="172" t="n">
        <v>0</v>
      </c>
      <c r="J498" t="n">
        <v>0</v>
      </c>
      <c r="K498" s="172" t="n">
        <v>11</v>
      </c>
      <c r="L498" t="n">
        <v>2.5789</v>
      </c>
      <c r="M498" s="172" t="n">
        <v>2</v>
      </c>
      <c r="N498" t="n">
        <v>0.4689</v>
      </c>
      <c r="O498" s="172" t="n">
        <v>1</v>
      </c>
      <c r="P498" t="n">
        <v>0.2344</v>
      </c>
      <c r="Q498" s="172" t="n">
        <v>8</v>
      </c>
      <c r="R498" s="172" t="n">
        <v>8</v>
      </c>
      <c r="S498" s="172" t="inlineStr">
        <is>
          <t>Census PEP Vintage 2025</t>
        </is>
      </c>
      <c r="T498" s="172" t="inlineStr">
        <is>
          <t>https://www2.census.gov/programs-surveys/popest/datasets/2020-2025/state/totals/NST-EST2025-ALLDATA.csv</t>
        </is>
      </c>
    </row>
    <row r="499">
      <c r="A499" s="172" t="n">
        <v>2024</v>
      </c>
      <c r="B499" t="inlineStr">
        <is>
          <t>PA</t>
        </is>
      </c>
      <c r="C499" t="inlineStr">
        <is>
          <t>42</t>
        </is>
      </c>
      <c r="D499" t="inlineStr">
        <is>
          <t>Pennsylvania</t>
        </is>
      </c>
      <c r="E499" s="172" t="n">
        <v>32</v>
      </c>
      <c r="F499" s="172" t="n">
        <v>13045848</v>
      </c>
      <c r="G499" s="172" t="n">
        <v>0.2453</v>
      </c>
      <c r="H499" s="172" t="n">
        <v>2.4529</v>
      </c>
      <c r="I499" s="172" t="n">
        <v>0</v>
      </c>
      <c r="J499" t="n">
        <v>0</v>
      </c>
      <c r="K499" s="172" t="n">
        <v>23</v>
      </c>
      <c r="L499" t="n">
        <v>1.763</v>
      </c>
      <c r="M499" s="172" t="n">
        <v>4</v>
      </c>
      <c r="N499" t="n">
        <v>0.3066</v>
      </c>
      <c r="O499" s="172" t="n">
        <v>6</v>
      </c>
      <c r="P499" t="n">
        <v>0.4599</v>
      </c>
      <c r="Q499" s="172" t="n">
        <v>27</v>
      </c>
      <c r="R499" s="172" t="n">
        <v>5</v>
      </c>
      <c r="S499" s="172" t="inlineStr">
        <is>
          <t>Census PEP Vintage 2025</t>
        </is>
      </c>
      <c r="T499" s="172" t="inlineStr">
        <is>
          <t>https://www2.census.gov/programs-surveys/popest/datasets/2020-2025/state/totals/NST-EST2025-ALLDATA.csv</t>
        </is>
      </c>
    </row>
    <row r="500">
      <c r="A500" s="172" t="n">
        <v>2024</v>
      </c>
      <c r="B500" t="inlineStr">
        <is>
          <t>RI</t>
        </is>
      </c>
      <c r="C500" t="inlineStr">
        <is>
          <t>44</t>
        </is>
      </c>
      <c r="D500" t="inlineStr">
        <is>
          <t>Rhode Island</t>
        </is>
      </c>
      <c r="E500" s="172" t="n">
        <v>0</v>
      </c>
      <c r="F500" s="172" t="n">
        <v>1110415</v>
      </c>
      <c r="G500" s="172" t="n">
        <v>0</v>
      </c>
      <c r="H500" s="172" t="n">
        <v>0</v>
      </c>
      <c r="I500" s="172" t="n">
        <v>0</v>
      </c>
      <c r="J500" t="n">
        <v>0</v>
      </c>
      <c r="K500" s="172" t="n">
        <v>0</v>
      </c>
      <c r="L500" t="n">
        <v>0</v>
      </c>
      <c r="M500" s="172" t="n">
        <v>0</v>
      </c>
      <c r="N500" t="n">
        <v>0</v>
      </c>
      <c r="O500" s="172" t="n">
        <v>0</v>
      </c>
      <c r="P500" t="n">
        <v>0</v>
      </c>
      <c r="Q500" s="172" t="n">
        <v>0</v>
      </c>
      <c r="R500" s="172" t="n">
        <v>0</v>
      </c>
      <c r="S500" s="172" t="inlineStr">
        <is>
          <t>Census PEP Vintage 2025</t>
        </is>
      </c>
      <c r="T500" s="172" t="inlineStr">
        <is>
          <t>https://www2.census.gov/programs-surveys/popest/datasets/2020-2025/state/totals/NST-EST2025-ALLDATA.csv</t>
        </is>
      </c>
    </row>
    <row r="501">
      <c r="A501" s="172" t="n">
        <v>2024</v>
      </c>
      <c r="B501" t="inlineStr">
        <is>
          <t>SC</t>
        </is>
      </c>
      <c r="C501" t="inlineStr">
        <is>
          <t>45</t>
        </is>
      </c>
      <c r="D501" t="inlineStr">
        <is>
          <t>South Carolina</t>
        </is>
      </c>
      <c r="E501" s="172" t="n">
        <v>21</v>
      </c>
      <c r="F501" s="172" t="n">
        <v>5490316</v>
      </c>
      <c r="G501" s="172" t="n">
        <v>0.3825</v>
      </c>
      <c r="H501" s="172" t="n">
        <v>3.8249</v>
      </c>
      <c r="I501" s="172" t="n">
        <v>2</v>
      </c>
      <c r="J501" t="n">
        <v>0.3643</v>
      </c>
      <c r="K501" s="172" t="n">
        <v>8</v>
      </c>
      <c r="L501" t="n">
        <v>1.4571</v>
      </c>
      <c r="M501" s="172" t="n">
        <v>1</v>
      </c>
      <c r="N501" t="n">
        <v>0.1821</v>
      </c>
      <c r="O501" s="172" t="n">
        <v>2</v>
      </c>
      <c r="P501" t="n">
        <v>0.3643</v>
      </c>
      <c r="Q501" s="172" t="n">
        <v>14</v>
      </c>
      <c r="R501" s="172" t="n">
        <v>7</v>
      </c>
      <c r="S501" s="172" t="inlineStr">
        <is>
          <t>Census PEP Vintage 2025</t>
        </is>
      </c>
      <c r="T501" s="172" t="inlineStr">
        <is>
          <t>https://www2.census.gov/programs-surveys/popest/datasets/2020-2025/state/totals/NST-EST2025-ALLDATA.csv</t>
        </is>
      </c>
    </row>
    <row r="502">
      <c r="A502" s="172" t="n">
        <v>2024</v>
      </c>
      <c r="B502" t="inlineStr">
        <is>
          <t>SD</t>
        </is>
      </c>
      <c r="C502" t="inlineStr">
        <is>
          <t>46</t>
        </is>
      </c>
      <c r="D502" t="inlineStr">
        <is>
          <t>South Dakota</t>
        </is>
      </c>
      <c r="E502" s="172" t="n">
        <v>4</v>
      </c>
      <c r="F502" s="172" t="n">
        <v>927110</v>
      </c>
      <c r="G502" s="172" t="n">
        <v>0.4314</v>
      </c>
      <c r="H502" s="172" t="n">
        <v>4.3145</v>
      </c>
      <c r="I502" s="172" t="n">
        <v>0</v>
      </c>
      <c r="J502" t="n">
        <v>0</v>
      </c>
      <c r="K502" s="172" t="n">
        <v>2</v>
      </c>
      <c r="L502" t="n">
        <v>2.1572</v>
      </c>
      <c r="M502" s="172" t="n">
        <v>1</v>
      </c>
      <c r="N502" t="n">
        <v>1.0786</v>
      </c>
      <c r="O502" s="172" t="n">
        <v>1</v>
      </c>
      <c r="P502" t="n">
        <v>1.0786</v>
      </c>
      <c r="Q502" s="172" t="n">
        <v>3</v>
      </c>
      <c r="R502" s="172" t="n">
        <v>1</v>
      </c>
      <c r="S502" s="172" t="inlineStr">
        <is>
          <t>Census PEP Vintage 2025</t>
        </is>
      </c>
      <c r="T502" s="172" t="inlineStr">
        <is>
          <t>https://www2.census.gov/programs-surveys/popest/datasets/2020-2025/state/totals/NST-EST2025-ALLDATA.csv</t>
        </is>
      </c>
    </row>
    <row r="503">
      <c r="A503" s="172" t="n">
        <v>2024</v>
      </c>
      <c r="B503" t="inlineStr">
        <is>
          <t>TN</t>
        </is>
      </c>
      <c r="C503" t="inlineStr">
        <is>
          <t>47</t>
        </is>
      </c>
      <c r="D503" t="inlineStr">
        <is>
          <t>Tennessee</t>
        </is>
      </c>
      <c r="E503" s="172" t="n">
        <v>36</v>
      </c>
      <c r="F503" s="172" t="n">
        <v>7251291</v>
      </c>
      <c r="G503" s="172" t="n">
        <v>0.4965</v>
      </c>
      <c r="H503" s="172" t="n">
        <v>4.9646</v>
      </c>
      <c r="I503" s="172" t="n">
        <v>0</v>
      </c>
      <c r="J503" t="n">
        <v>0</v>
      </c>
      <c r="K503" s="172" t="n">
        <v>22</v>
      </c>
      <c r="L503" t="n">
        <v>3.0339</v>
      </c>
      <c r="M503" s="172" t="n">
        <v>8</v>
      </c>
      <c r="N503" t="n">
        <v>1.1033</v>
      </c>
      <c r="O503" s="172" t="n">
        <v>2</v>
      </c>
      <c r="P503" t="n">
        <v>0.2758</v>
      </c>
      <c r="Q503" s="172" t="n">
        <v>27</v>
      </c>
      <c r="R503" s="172" t="n">
        <v>9</v>
      </c>
      <c r="S503" s="172" t="inlineStr">
        <is>
          <t>Census PEP Vintage 2025</t>
        </is>
      </c>
      <c r="T503" s="172" t="inlineStr">
        <is>
          <t>https://www2.census.gov/programs-surveys/popest/datasets/2020-2025/state/totals/NST-EST2025-ALLDATA.csv</t>
        </is>
      </c>
    </row>
    <row r="504">
      <c r="A504" s="172" t="n">
        <v>2024</v>
      </c>
      <c r="B504" t="inlineStr">
        <is>
          <t>TX</t>
        </is>
      </c>
      <c r="C504" t="inlineStr">
        <is>
          <t>48</t>
        </is>
      </c>
      <c r="D504" t="inlineStr">
        <is>
          <t>Texas</t>
        </is>
      </c>
      <c r="E504" s="172" t="n">
        <v>144</v>
      </c>
      <c r="F504" s="172" t="n">
        <v>31318578</v>
      </c>
      <c r="G504" s="172" t="n">
        <v>0.4598</v>
      </c>
      <c r="H504" s="172" t="n">
        <v>4.5979</v>
      </c>
      <c r="I504" s="172" t="n">
        <v>4</v>
      </c>
      <c r="J504" t="n">
        <v>0.1277</v>
      </c>
      <c r="K504" s="172" t="n">
        <v>88</v>
      </c>
      <c r="L504" t="n">
        <v>2.8098</v>
      </c>
      <c r="M504" s="172" t="n">
        <v>21</v>
      </c>
      <c r="N504" t="n">
        <v>0.6705</v>
      </c>
      <c r="O504" s="172" t="n">
        <v>19</v>
      </c>
      <c r="P504" t="n">
        <v>0.6067</v>
      </c>
      <c r="Q504" s="172" t="n">
        <v>144</v>
      </c>
      <c r="R504" s="172" t="n">
        <v>0</v>
      </c>
      <c r="S504" s="172" t="inlineStr">
        <is>
          <t>Census PEP Vintage 2025</t>
        </is>
      </c>
      <c r="T504" s="172" t="inlineStr">
        <is>
          <t>https://www2.census.gov/programs-surveys/popest/datasets/2020-2025/state/totals/NST-EST2025-ALLDATA.csv</t>
        </is>
      </c>
    </row>
    <row r="505">
      <c r="A505" s="172" t="n">
        <v>2024</v>
      </c>
      <c r="B505" t="inlineStr">
        <is>
          <t>UT</t>
        </is>
      </c>
      <c r="C505" t="inlineStr">
        <is>
          <t>49</t>
        </is>
      </c>
      <c r="D505" t="inlineStr">
        <is>
          <t>Utah</t>
        </is>
      </c>
      <c r="E505" s="172" t="n">
        <v>18</v>
      </c>
      <c r="F505" s="172" t="n">
        <v>3502983</v>
      </c>
      <c r="G505" s="172" t="n">
        <v>0.5138</v>
      </c>
      <c r="H505" s="172" t="n">
        <v>5.1385</v>
      </c>
      <c r="I505" s="172" t="n">
        <v>0</v>
      </c>
      <c r="J505" t="n">
        <v>0</v>
      </c>
      <c r="K505" s="172" t="n">
        <v>8</v>
      </c>
      <c r="L505" t="n">
        <v>2.2838</v>
      </c>
      <c r="M505" s="172" t="n">
        <v>2</v>
      </c>
      <c r="N505" t="n">
        <v>0.5709</v>
      </c>
      <c r="O505" s="172" t="n">
        <v>2</v>
      </c>
      <c r="P505" t="n">
        <v>0.5709</v>
      </c>
      <c r="Q505" s="172" t="n">
        <v>9</v>
      </c>
      <c r="R505" s="172" t="n">
        <v>9</v>
      </c>
      <c r="S505" s="172" t="inlineStr">
        <is>
          <t>Census PEP Vintage 2025</t>
        </is>
      </c>
      <c r="T505" s="172" t="inlineStr">
        <is>
          <t>https://www2.census.gov/programs-surveys/popest/datasets/2020-2025/state/totals/NST-EST2025-ALLDATA.csv</t>
        </is>
      </c>
    </row>
    <row r="506">
      <c r="A506" s="172" t="n">
        <v>2024</v>
      </c>
      <c r="B506" t="inlineStr">
        <is>
          <t>VA</t>
        </is>
      </c>
      <c r="C506" t="inlineStr">
        <is>
          <t>51</t>
        </is>
      </c>
      <c r="D506" t="inlineStr">
        <is>
          <t>Virginia</t>
        </is>
      </c>
      <c r="E506" s="172" t="n">
        <v>31</v>
      </c>
      <c r="F506" s="172" t="n">
        <v>8819642</v>
      </c>
      <c r="G506" s="172" t="n">
        <v>0.3515</v>
      </c>
      <c r="H506" s="172" t="n">
        <v>3.5149</v>
      </c>
      <c r="I506" s="172" t="n">
        <v>0</v>
      </c>
      <c r="J506" t="n">
        <v>0</v>
      </c>
      <c r="K506" s="172" t="n">
        <v>15</v>
      </c>
      <c r="L506" t="n">
        <v>1.7007</v>
      </c>
      <c r="M506" s="172" t="n">
        <v>5</v>
      </c>
      <c r="N506" t="n">
        <v>0.5669</v>
      </c>
      <c r="O506" s="172" t="n">
        <v>6</v>
      </c>
      <c r="P506" t="n">
        <v>0.6803</v>
      </c>
      <c r="Q506" s="172" t="n">
        <v>18</v>
      </c>
      <c r="R506" s="172" t="n">
        <v>13</v>
      </c>
      <c r="S506" s="172" t="inlineStr">
        <is>
          <t>Census PEP Vintage 2025</t>
        </is>
      </c>
      <c r="T506" s="172" t="inlineStr">
        <is>
          <t>https://www2.census.gov/programs-surveys/popest/datasets/2020-2025/state/totals/NST-EST2025-ALLDATA.csv</t>
        </is>
      </c>
    </row>
    <row r="507">
      <c r="A507" s="172" t="n">
        <v>2024</v>
      </c>
      <c r="B507" t="inlineStr">
        <is>
          <t>VT</t>
        </is>
      </c>
      <c r="C507" t="inlineStr">
        <is>
          <t>50</t>
        </is>
      </c>
      <c r="D507" t="inlineStr">
        <is>
          <t>Vermont</t>
        </is>
      </c>
      <c r="E507" s="172" t="n">
        <v>1</v>
      </c>
      <c r="F507" s="172" t="n">
        <v>646521</v>
      </c>
      <c r="G507" s="172" t="n">
        <v>0.1547</v>
      </c>
      <c r="H507" s="172" t="n">
        <v>1.5467</v>
      </c>
      <c r="I507" s="172" t="n">
        <v>0</v>
      </c>
      <c r="J507" t="n">
        <v>0</v>
      </c>
      <c r="K507" s="172" t="n">
        <v>1</v>
      </c>
      <c r="L507" t="n">
        <v>1.5467</v>
      </c>
      <c r="M507" s="172" t="n">
        <v>0</v>
      </c>
      <c r="N507" t="n">
        <v>0</v>
      </c>
      <c r="O507" s="172" t="n">
        <v>1</v>
      </c>
      <c r="P507" t="n">
        <v>1.5467</v>
      </c>
      <c r="Q507" s="172" t="n">
        <v>0</v>
      </c>
      <c r="R507" s="172" t="n">
        <v>1</v>
      </c>
      <c r="S507" s="172" t="inlineStr">
        <is>
          <t>Census PEP Vintage 2025</t>
        </is>
      </c>
      <c r="T507" s="172" t="inlineStr">
        <is>
          <t>https://www2.census.gov/programs-surveys/popest/datasets/2020-2025/state/totals/NST-EST2025-ALLDATA.csv</t>
        </is>
      </c>
    </row>
    <row r="508">
      <c r="A508" s="172" t="n">
        <v>2024</v>
      </c>
      <c r="B508" t="inlineStr">
        <is>
          <t>WA</t>
        </is>
      </c>
      <c r="C508" t="inlineStr">
        <is>
          <t>53</t>
        </is>
      </c>
      <c r="D508" t="inlineStr">
        <is>
          <t>Washington</t>
        </is>
      </c>
      <c r="E508" s="172" t="n">
        <v>32</v>
      </c>
      <c r="F508" s="172" t="n">
        <v>7927958</v>
      </c>
      <c r="G508" s="172" t="n">
        <v>0.4036</v>
      </c>
      <c r="H508" s="172" t="n">
        <v>4.0363</v>
      </c>
      <c r="I508" s="172" t="n">
        <v>0</v>
      </c>
      <c r="J508" t="n">
        <v>0</v>
      </c>
      <c r="K508" s="172" t="n">
        <v>18</v>
      </c>
      <c r="L508" t="n">
        <v>2.2704</v>
      </c>
      <c r="M508" s="172" t="n">
        <v>3</v>
      </c>
      <c r="N508" t="n">
        <v>0.3784</v>
      </c>
      <c r="O508" s="172" t="n">
        <v>10</v>
      </c>
      <c r="P508" t="n">
        <v>1.2614</v>
      </c>
      <c r="Q508" s="172" t="n">
        <v>18</v>
      </c>
      <c r="R508" s="172" t="n">
        <v>14</v>
      </c>
      <c r="S508" s="172" t="inlineStr">
        <is>
          <t>Census PEP Vintage 2025</t>
        </is>
      </c>
      <c r="T508" s="172" t="inlineStr">
        <is>
          <t>https://www2.census.gov/programs-surveys/popest/datasets/2020-2025/state/totals/NST-EST2025-ALLDATA.csv</t>
        </is>
      </c>
    </row>
    <row r="509">
      <c r="A509" s="172" t="n">
        <v>2024</v>
      </c>
      <c r="B509" t="inlineStr">
        <is>
          <t>WI</t>
        </is>
      </c>
      <c r="C509" t="inlineStr">
        <is>
          <t>55</t>
        </is>
      </c>
      <c r="D509" t="inlineStr">
        <is>
          <t>Wisconsin</t>
        </is>
      </c>
      <c r="E509" s="172" t="n">
        <v>19</v>
      </c>
      <c r="F509" s="172" t="n">
        <v>5957168</v>
      </c>
      <c r="G509" s="172" t="n">
        <v>0.3189</v>
      </c>
      <c r="H509" s="172" t="n">
        <v>3.1894</v>
      </c>
      <c r="I509" s="172" t="n">
        <v>1</v>
      </c>
      <c r="J509" t="n">
        <v>0.1679</v>
      </c>
      <c r="K509" s="172" t="n">
        <v>9</v>
      </c>
      <c r="L509" t="n">
        <v>1.5108</v>
      </c>
      <c r="M509" s="172" t="n">
        <v>4</v>
      </c>
      <c r="N509" t="n">
        <v>0.6715</v>
      </c>
      <c r="O509" s="172" t="n">
        <v>13</v>
      </c>
      <c r="P509" t="n">
        <v>2.1822</v>
      </c>
      <c r="Q509" s="172" t="n">
        <v>17</v>
      </c>
      <c r="R509" s="172" t="n">
        <v>2</v>
      </c>
      <c r="S509" s="172" t="inlineStr">
        <is>
          <t>Census PEP Vintage 2025</t>
        </is>
      </c>
      <c r="T509" s="172" t="inlineStr">
        <is>
          <t>https://www2.census.gov/programs-surveys/popest/datasets/2020-2025/state/totals/NST-EST2025-ALLDATA.csv</t>
        </is>
      </c>
    </row>
    <row r="510">
      <c r="A510" s="172" t="n">
        <v>2024</v>
      </c>
      <c r="B510" t="inlineStr">
        <is>
          <t>WV</t>
        </is>
      </c>
      <c r="C510" t="inlineStr">
        <is>
          <t>54</t>
        </is>
      </c>
      <c r="D510" t="inlineStr">
        <is>
          <t>West Virginia</t>
        </is>
      </c>
      <c r="E510" s="172" t="n">
        <v>9</v>
      </c>
      <c r="F510" s="172" t="n">
        <v>1767402</v>
      </c>
      <c r="G510" s="172" t="n">
        <v>0.5092</v>
      </c>
      <c r="H510" s="172" t="n">
        <v>5.0922</v>
      </c>
      <c r="I510" s="172" t="n">
        <v>0</v>
      </c>
      <c r="J510" t="n">
        <v>0</v>
      </c>
      <c r="K510" s="172" t="n">
        <v>7</v>
      </c>
      <c r="L510" t="n">
        <v>3.9606</v>
      </c>
      <c r="M510" s="172" t="n">
        <v>1</v>
      </c>
      <c r="N510" t="n">
        <v>0.5658</v>
      </c>
      <c r="O510" s="172" t="n">
        <v>1</v>
      </c>
      <c r="P510" t="n">
        <v>0.5658</v>
      </c>
      <c r="Q510" s="172" t="n">
        <v>6</v>
      </c>
      <c r="R510" s="172" t="n">
        <v>3</v>
      </c>
      <c r="S510" s="172" t="inlineStr">
        <is>
          <t>Census PEP Vintage 2025</t>
        </is>
      </c>
      <c r="T510" s="172" t="inlineStr">
        <is>
          <t>https://www2.census.gov/programs-surveys/popest/datasets/2020-2025/state/totals/NST-EST2025-ALLDATA.csv</t>
        </is>
      </c>
    </row>
    <row r="511">
      <c r="A511" s="172" t="n">
        <v>2024</v>
      </c>
      <c r="B511" t="inlineStr">
        <is>
          <t>WY</t>
        </is>
      </c>
      <c r="C511" t="inlineStr">
        <is>
          <t>56</t>
        </is>
      </c>
      <c r="D511" t="inlineStr">
        <is>
          <t>Wyoming</t>
        </is>
      </c>
      <c r="E511" s="172" t="n">
        <v>7</v>
      </c>
      <c r="F511" s="172" t="n">
        <v>586722</v>
      </c>
      <c r="G511" s="172" t="n">
        <v>1.1931</v>
      </c>
      <c r="H511" s="172" t="n">
        <v>11.9307</v>
      </c>
      <c r="I511" s="172" t="n">
        <v>1</v>
      </c>
      <c r="J511" t="n">
        <v>1.7044</v>
      </c>
      <c r="K511" s="172" t="n">
        <v>5</v>
      </c>
      <c r="L511" t="n">
        <v>8.5219</v>
      </c>
      <c r="M511" s="172" t="n">
        <v>0</v>
      </c>
      <c r="N511" t="n">
        <v>0</v>
      </c>
      <c r="O511" s="172" t="n">
        <v>1</v>
      </c>
      <c r="P511" t="n">
        <v>1.7044</v>
      </c>
      <c r="Q511" s="172" t="n">
        <v>5</v>
      </c>
      <c r="R511" s="172" t="n">
        <v>2</v>
      </c>
      <c r="S511" s="172" t="inlineStr">
        <is>
          <t>Census PEP Vintage 2025</t>
        </is>
      </c>
      <c r="T511" s="172" t="inlineStr">
        <is>
          <t>https://www2.census.gov/programs-surveys/popest/datasets/2020-2025/state/totals/NST-EST2025-ALLDATA.csv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18" customWidth="1" style="16" min="12" max="12"/>
    <col width="16" customWidth="1" style="16" min="13" max="13"/>
  </cols>
  <sheetData>
    <row r="1">
      <c r="A1" s="6" t="inlineStr">
        <is>
          <t>model</t>
        </is>
      </c>
      <c r="B1" s="6" t="inlineStr">
        <is>
          <t>train_years</t>
        </is>
      </c>
      <c r="C1" s="6" t="inlineStr">
        <is>
          <t>test_years</t>
        </is>
      </c>
      <c r="D1" s="6" t="inlineStr">
        <is>
          <t>n_train_rows</t>
        </is>
      </c>
      <c r="E1" s="6" t="inlineStr">
        <is>
          <t>n_test_rows</t>
        </is>
      </c>
      <c r="F1" s="6" t="inlineStr">
        <is>
          <t>count_mae</t>
        </is>
      </c>
      <c r="G1" s="6" t="inlineStr">
        <is>
          <t>count_rmse</t>
        </is>
      </c>
      <c r="H1" s="6" t="inlineStr">
        <is>
          <t>rate_mae_per_1m</t>
        </is>
      </c>
      <c r="I1" s="6" t="inlineStr">
        <is>
          <t>national_total_error</t>
        </is>
      </c>
      <c r="J1" s="6" t="inlineStr">
        <is>
          <t>actual_holdout_total</t>
        </is>
      </c>
      <c r="K1" s="6" t="inlineStr">
        <is>
          <t>predicted_holdout_total</t>
        </is>
      </c>
      <c r="L1" s="6" t="inlineStr">
        <is>
          <t>mean_predicted_count</t>
        </is>
      </c>
      <c r="M1" s="6" t="inlineStr">
        <is>
          <t>mean_actual_count</t>
        </is>
      </c>
    </row>
    <row r="2">
      <c r="A2" t="inlineStr">
        <is>
          <t>ensemble_top4_holdout_mae</t>
        </is>
      </c>
      <c r="B2" t="inlineStr">
        <is>
          <t>2018-2022</t>
        </is>
      </c>
      <c r="C2" t="inlineStr">
        <is>
          <t>2023-2024</t>
        </is>
      </c>
      <c r="D2" t="n">
        <v>255</v>
      </c>
      <c r="E2" t="n">
        <v>102</v>
      </c>
      <c r="F2" s="173" t="n">
        <v>4.03602</v>
      </c>
      <c r="G2" s="173" t="n">
        <v>6.127696</v>
      </c>
      <c r="H2" s="173" t="n">
        <v>0.970495</v>
      </c>
      <c r="I2" s="173" t="n">
        <v>-110.574801</v>
      </c>
      <c r="J2" t="n">
        <v>2339</v>
      </c>
      <c r="K2" t="n">
        <v>2228.425199</v>
      </c>
      <c r="L2" s="172" t="n">
        <v>21.847306</v>
      </c>
      <c r="M2" s="172" t="n">
        <v>22.931373</v>
      </c>
    </row>
    <row r="3">
      <c r="A3" t="inlineStr">
        <is>
          <t>roll3_baseline</t>
        </is>
      </c>
      <c r="B3" t="inlineStr">
        <is>
          <t>2018-2022</t>
        </is>
      </c>
      <c r="C3" t="inlineStr">
        <is>
          <t>2023-2024</t>
        </is>
      </c>
      <c r="D3" t="n">
        <v>255</v>
      </c>
      <c r="E3" t="n">
        <v>102</v>
      </c>
      <c r="F3" s="173" t="n">
        <v>4.117647</v>
      </c>
      <c r="G3" s="173" t="n">
        <v>6.692922</v>
      </c>
      <c r="H3" s="173" t="n">
        <v>0.919917</v>
      </c>
      <c r="I3" s="173" t="n">
        <v>-179.333333</v>
      </c>
      <c r="J3" t="n">
        <v>2339</v>
      </c>
      <c r="K3" t="n">
        <v>2159.666667</v>
      </c>
      <c r="L3" s="172" t="n">
        <v>21.173203</v>
      </c>
      <c r="M3" s="172" t="n">
        <v>22.931373</v>
      </c>
    </row>
    <row r="4">
      <c r="A4" t="inlineStr">
        <is>
          <t>lag1_baseline</t>
        </is>
      </c>
      <c r="B4" t="inlineStr">
        <is>
          <t>2018-2022</t>
        </is>
      </c>
      <c r="C4" t="inlineStr">
        <is>
          <t>2023-2024</t>
        </is>
      </c>
      <c r="D4" t="n">
        <v>255</v>
      </c>
      <c r="E4" t="n">
        <v>102</v>
      </c>
      <c r="F4" s="173" t="n">
        <v>4.215686</v>
      </c>
      <c r="G4" s="173" t="n">
        <v>6.282562</v>
      </c>
      <c r="H4" s="173" t="n">
        <v>1.220174</v>
      </c>
      <c r="I4" s="173" t="n">
        <v>-78</v>
      </c>
      <c r="J4" t="n">
        <v>2339</v>
      </c>
      <c r="K4" t="n">
        <v>2261</v>
      </c>
      <c r="L4" s="172" t="n">
        <v>22.166667</v>
      </c>
      <c r="M4" s="172" t="n">
        <v>22.931373</v>
      </c>
    </row>
    <row r="5">
      <c r="A5" t="inlineStr">
        <is>
          <t>random_forest_enhanced_lagged</t>
        </is>
      </c>
      <c r="B5" t="inlineStr">
        <is>
          <t>2018-2022</t>
        </is>
      </c>
      <c r="C5" t="inlineStr">
        <is>
          <t>2023-2024</t>
        </is>
      </c>
      <c r="D5" t="n">
        <v>255</v>
      </c>
      <c r="E5" t="n">
        <v>102</v>
      </c>
      <c r="F5" s="173" t="n">
        <v>4.683044</v>
      </c>
      <c r="G5" s="173" t="n">
        <v>7.654449</v>
      </c>
      <c r="H5" s="173" t="n">
        <v>1.158</v>
      </c>
      <c r="I5" s="173" t="n">
        <v>-93.966336</v>
      </c>
      <c r="J5" t="n">
        <v>2339</v>
      </c>
      <c r="K5" t="n">
        <v>2245.033664</v>
      </c>
      <c r="L5" s="172" t="n">
        <v>22.010134</v>
      </c>
      <c r="M5" s="172" t="n">
        <v>22.931373</v>
      </c>
    </row>
    <row r="6">
      <c r="A6" t="inlineStr">
        <is>
          <t>ridge_enhanced_lagged</t>
        </is>
      </c>
      <c r="B6" t="inlineStr">
        <is>
          <t>2018-2022</t>
        </is>
      </c>
      <c r="C6" t="inlineStr">
        <is>
          <t>2023-2024</t>
        </is>
      </c>
      <c r="D6" t="n">
        <v>255</v>
      </c>
      <c r="E6" t="n">
        <v>102</v>
      </c>
      <c r="F6" s="173" t="n">
        <v>4.715602</v>
      </c>
      <c r="G6" s="173" t="n">
        <v>6.831324</v>
      </c>
      <c r="H6" s="173" t="n">
        <v>1.373496</v>
      </c>
      <c r="I6" s="173" t="n">
        <v>-90.99953600000001</v>
      </c>
      <c r="J6" t="n">
        <v>2339</v>
      </c>
      <c r="K6" t="n">
        <v>2248.000464</v>
      </c>
      <c r="L6" s="172" t="n">
        <v>22.03922</v>
      </c>
      <c r="M6" s="172" t="n">
        <v>22.931373</v>
      </c>
    </row>
    <row r="7">
      <c r="A7" t="inlineStr">
        <is>
          <t>poisson_enhanced_lagged</t>
        </is>
      </c>
      <c r="B7" t="inlineStr">
        <is>
          <t>2018-2022</t>
        </is>
      </c>
      <c r="C7" t="inlineStr">
        <is>
          <t>2023-2024</t>
        </is>
      </c>
      <c r="D7" t="n">
        <v>255</v>
      </c>
      <c r="E7" t="n">
        <v>102</v>
      </c>
      <c r="F7" s="173" t="n">
        <v>5.067758</v>
      </c>
      <c r="G7" s="173" t="n">
        <v>7.691081</v>
      </c>
      <c r="H7" s="173" t="n">
        <v>1.113482</v>
      </c>
      <c r="I7" s="173" t="n">
        <v>-273.117813</v>
      </c>
      <c r="J7" t="n">
        <v>2339</v>
      </c>
      <c r="K7" t="n">
        <v>2065.882187</v>
      </c>
      <c r="L7" s="172" t="n">
        <v>20.253747</v>
      </c>
      <c r="M7" s="172" t="n">
        <v>22.931373</v>
      </c>
    </row>
    <row r="8">
      <c r="A8" t="inlineStr">
        <is>
          <t>prev_national_rate_baseline</t>
        </is>
      </c>
      <c r="B8" t="inlineStr">
        <is>
          <t>2018-2022</t>
        </is>
      </c>
      <c r="C8" t="inlineStr">
        <is>
          <t>2023-2024</t>
        </is>
      </c>
      <c r="D8" t="n">
        <v>255</v>
      </c>
      <c r="E8" t="n">
        <v>102</v>
      </c>
      <c r="F8" s="173" t="n">
        <v>8.193163</v>
      </c>
      <c r="G8" s="173" t="n">
        <v>11.932821</v>
      </c>
      <c r="H8" s="173" t="n">
        <v>1.798812</v>
      </c>
      <c r="I8" s="173" t="n">
        <v>-57.709635</v>
      </c>
      <c r="J8" t="n">
        <v>2339</v>
      </c>
      <c r="K8" t="n">
        <v>2281.290365</v>
      </c>
      <c r="L8" s="172" t="n">
        <v>22.365592</v>
      </c>
      <c r="M8" s="172" t="n">
        <v>22.931373</v>
      </c>
    </row>
  </sheetData>
  <conditionalFormatting sqref="F2:F8">
    <cfRule type="dataBar" priority="1">
      <dataBar>
        <cfvo type="min"/>
        <cfvo type="max"/>
        <color rgb="002563EB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18" customWidth="1" style="16" min="12" max="12"/>
    <col width="16" customWidth="1" style="16" min="13" max="13"/>
    <col width="16" customWidth="1" style="16" min="14" max="14"/>
    <col width="16" customWidth="1" style="16" min="15" max="15"/>
    <col width="16" customWidth="1" style="16" min="16" max="16"/>
    <col width="16" customWidth="1" style="16" min="17" max="17"/>
    <col width="16" customWidth="1" style="16" min="18" max="18"/>
    <col width="16" customWidth="1" style="16" min="19" max="19"/>
    <col width="16" customWidth="1" style="16" min="20" max="20"/>
    <col width="16" customWidth="1" style="16" min="21" max="21"/>
    <col width="16" customWidth="1" style="16" min="22" max="22"/>
    <col width="16" customWidth="1" style="16" min="23" max="23"/>
  </cols>
  <sheetData>
    <row r="1">
      <c r="A1" s="6" t="inlineStr">
        <is>
          <t>state_abbr</t>
        </is>
      </c>
      <c r="B1" s="6" t="inlineStr">
        <is>
          <t>state_name</t>
        </is>
      </c>
      <c r="C1" s="6" t="inlineStr">
        <is>
          <t>region</t>
        </is>
      </c>
      <c r="D1" s="6" t="inlineStr">
        <is>
          <t>division</t>
        </is>
      </c>
      <c r="E1" s="6" t="inlineStr">
        <is>
          <t>year</t>
        </is>
      </c>
      <c r="F1" s="6" t="inlineStr">
        <is>
          <t>population</t>
        </is>
      </c>
      <c r="G1" s="6" t="inlineStr">
        <is>
          <t>prior_2024_count</t>
        </is>
      </c>
      <c r="H1" s="6" t="inlineStr">
        <is>
          <t>prior_3yr_avg_count</t>
        </is>
      </c>
      <c r="I1" s="6" t="inlineStr">
        <is>
          <t>prior_3yr_avg_rate_per_1m</t>
        </is>
      </c>
      <c r="J1" s="6" t="inlineStr">
        <is>
          <t>forecast_ridge_enhanced_lagged</t>
        </is>
      </c>
      <c r="K1" s="6" t="inlineStr">
        <is>
          <t>forecast_rate_per_1m_ridge_enhanced_lagged</t>
        </is>
      </c>
      <c r="L1" s="6" t="inlineStr">
        <is>
          <t>forecast_poisson_enhanced_lagged</t>
        </is>
      </c>
      <c r="M1" s="6" t="inlineStr">
        <is>
          <t>forecast_rate_per_1m_poisson_enhanced_lagged</t>
        </is>
      </c>
      <c r="N1" s="6" t="inlineStr">
        <is>
          <t>forecast_random_forest_enhanced_lagged</t>
        </is>
      </c>
      <c r="O1" s="6" t="inlineStr">
        <is>
          <t>forecast_rate_per_1m_random_forest_enhanced_lagged</t>
        </is>
      </c>
      <c r="P1" s="6" t="inlineStr">
        <is>
          <t>forecast_lag1_baseline</t>
        </is>
      </c>
      <c r="Q1" s="6" t="inlineStr">
        <is>
          <t>forecast_rate_per_1m_lag1_baseline</t>
        </is>
      </c>
      <c r="R1" s="6" t="inlineStr">
        <is>
          <t>forecast_roll3_baseline</t>
        </is>
      </c>
      <c r="S1" s="6" t="inlineStr">
        <is>
          <t>forecast_rate_per_1m_roll3_baseline</t>
        </is>
      </c>
      <c r="T1" s="6" t="inlineStr">
        <is>
          <t>forecast_prev_national_rate_baseline</t>
        </is>
      </c>
      <c r="U1" s="6" t="inlineStr">
        <is>
          <t>forecast_rate_per_1m_prev_national_rate_baseline</t>
        </is>
      </c>
      <c r="V1" s="6" t="inlineStr">
        <is>
          <t>forecast_ensemble_top4_holdout_mae</t>
        </is>
      </c>
      <c r="W1" s="6" t="inlineStr">
        <is>
          <t>forecast_rate_per_1m_ensemble_top4_holdout_mae</t>
        </is>
      </c>
    </row>
    <row r="2">
      <c r="A2" t="inlineStr">
        <is>
          <t>AK</t>
        </is>
      </c>
      <c r="B2" t="inlineStr">
        <is>
          <t>Alaska</t>
        </is>
      </c>
      <c r="C2" t="inlineStr">
        <is>
          <t>West</t>
        </is>
      </c>
      <c r="D2" t="inlineStr">
        <is>
          <t>Pacific</t>
        </is>
      </c>
      <c r="E2" s="172" t="n">
        <v>2025</v>
      </c>
      <c r="F2" s="172" t="n">
        <v>737270</v>
      </c>
      <c r="G2" s="172" t="n">
        <v>8</v>
      </c>
      <c r="H2" s="172" t="n">
        <v>6.333333</v>
      </c>
      <c r="I2" s="173" t="n">
        <v>8.614635</v>
      </c>
      <c r="J2" t="n">
        <v>4.223524</v>
      </c>
      <c r="K2" s="173" t="n">
        <v>5.728599</v>
      </c>
      <c r="L2" t="n">
        <v>4.603226</v>
      </c>
      <c r="M2" s="173" t="n">
        <v>6.24361</v>
      </c>
      <c r="N2" t="n">
        <v>8.441869000000001</v>
      </c>
      <c r="O2" s="173" t="n">
        <v>11.450173</v>
      </c>
      <c r="P2" t="n">
        <v>8</v>
      </c>
      <c r="Q2" s="173" t="n">
        <v>10.850842</v>
      </c>
      <c r="R2" t="n">
        <v>6.333333</v>
      </c>
      <c r="S2" s="173" t="n">
        <v>8.590249999999999</v>
      </c>
      <c r="T2" s="173" t="n">
        <v>2.54789</v>
      </c>
      <c r="U2" s="173" t="n">
        <v>3.455844</v>
      </c>
      <c r="V2" s="173" t="n">
        <v>6.749682</v>
      </c>
      <c r="W2" s="173" t="n">
        <v>9.154966</v>
      </c>
    </row>
    <row r="3">
      <c r="A3" t="inlineStr">
        <is>
          <t>AL</t>
        </is>
      </c>
      <c r="B3" t="inlineStr">
        <is>
          <t>Alabama</t>
        </is>
      </c>
      <c r="C3" t="inlineStr">
        <is>
          <t>South</t>
        </is>
      </c>
      <c r="D3" t="inlineStr">
        <is>
          <t>East South Central</t>
        </is>
      </c>
      <c r="E3" s="172" t="n">
        <v>2025</v>
      </c>
      <c r="F3" s="172" t="n">
        <v>5193088</v>
      </c>
      <c r="G3" s="172" t="n">
        <v>21</v>
      </c>
      <c r="H3" s="172" t="n">
        <v>23.333333</v>
      </c>
      <c r="I3" s="173" t="n">
        <v>4.557746</v>
      </c>
      <c r="J3" t="n">
        <v>22.635614</v>
      </c>
      <c r="K3" s="173" t="n">
        <v>4.358797</v>
      </c>
      <c r="L3" t="n">
        <v>17.964926</v>
      </c>
      <c r="M3" s="173" t="n">
        <v>3.459392</v>
      </c>
      <c r="N3" t="n">
        <v>24.480754</v>
      </c>
      <c r="O3" s="173" t="n">
        <v>4.714103</v>
      </c>
      <c r="P3" t="n">
        <v>21</v>
      </c>
      <c r="Q3" s="173" t="n">
        <v>4.043837</v>
      </c>
      <c r="R3" t="n">
        <v>23.333333</v>
      </c>
      <c r="S3" s="173" t="n">
        <v>4.493152</v>
      </c>
      <c r="T3" s="173" t="n">
        <v>17.946501</v>
      </c>
      <c r="U3" s="173" t="n">
        <v>3.455844</v>
      </c>
      <c r="V3" s="173" t="n">
        <v>22.862425</v>
      </c>
      <c r="W3" s="173" t="n">
        <v>4.402472</v>
      </c>
    </row>
    <row r="4">
      <c r="A4" t="inlineStr">
        <is>
          <t>AR</t>
        </is>
      </c>
      <c r="B4" t="inlineStr">
        <is>
          <t>Arkansas</t>
        </is>
      </c>
      <c r="C4" t="inlineStr">
        <is>
          <t>South</t>
        </is>
      </c>
      <c r="D4" t="inlineStr">
        <is>
          <t>West South Central</t>
        </is>
      </c>
      <c r="E4" s="172" t="n">
        <v>2025</v>
      </c>
      <c r="F4" s="172" t="n">
        <v>3114791</v>
      </c>
      <c r="G4" s="172" t="n">
        <v>17</v>
      </c>
      <c r="H4" s="172" t="n">
        <v>15.333333</v>
      </c>
      <c r="I4" s="173" t="n">
        <v>4.991956</v>
      </c>
      <c r="J4" t="n">
        <v>18.38193</v>
      </c>
      <c r="K4" s="173" t="n">
        <v>5.901497</v>
      </c>
      <c r="L4" t="n">
        <v>11.487513</v>
      </c>
      <c r="M4" s="173" t="n">
        <v>3.688053</v>
      </c>
      <c r="N4" t="n">
        <v>16.987845</v>
      </c>
      <c r="O4" s="173" t="n">
        <v>5.453928</v>
      </c>
      <c r="P4" t="n">
        <v>17</v>
      </c>
      <c r="Q4" s="173" t="n">
        <v>5.45783</v>
      </c>
      <c r="R4" t="n">
        <v>15.333333</v>
      </c>
      <c r="S4" s="173" t="n">
        <v>4.922749</v>
      </c>
      <c r="T4" s="173" t="n">
        <v>10.764231</v>
      </c>
      <c r="U4" s="173" t="n">
        <v>3.455844</v>
      </c>
      <c r="V4" s="173" t="n">
        <v>16.925777</v>
      </c>
      <c r="W4" s="173" t="n">
        <v>5.434001</v>
      </c>
    </row>
    <row r="5">
      <c r="A5" t="inlineStr">
        <is>
          <t>AZ</t>
        </is>
      </c>
      <c r="B5" t="inlineStr">
        <is>
          <t>Arizona</t>
        </is>
      </c>
      <c r="C5" t="inlineStr">
        <is>
          <t>West</t>
        </is>
      </c>
      <c r="D5" t="inlineStr">
        <is>
          <t>Mountain</t>
        </is>
      </c>
      <c r="E5" s="172" t="n">
        <v>2025</v>
      </c>
      <c r="F5" s="172" t="n">
        <v>7623818</v>
      </c>
      <c r="G5" s="172" t="n">
        <v>48</v>
      </c>
      <c r="H5" s="172" t="n">
        <v>49.333333</v>
      </c>
      <c r="I5" s="173" t="n">
        <v>6.616313</v>
      </c>
      <c r="J5" t="n">
        <v>46.943467</v>
      </c>
      <c r="K5" s="173" t="n">
        <v>6.157475</v>
      </c>
      <c r="L5" t="n">
        <v>37.045226</v>
      </c>
      <c r="M5" s="173" t="n">
        <v>4.859144</v>
      </c>
      <c r="N5" t="n">
        <v>43.837105</v>
      </c>
      <c r="O5" s="173" t="n">
        <v>5.75002</v>
      </c>
      <c r="P5" t="n">
        <v>48</v>
      </c>
      <c r="Q5" s="173" t="n">
        <v>6.296058</v>
      </c>
      <c r="R5" t="n">
        <v>49.333333</v>
      </c>
      <c r="S5" s="173" t="n">
        <v>6.470948</v>
      </c>
      <c r="T5" s="173" t="n">
        <v>26.346724</v>
      </c>
      <c r="U5" s="173" t="n">
        <v>3.455844</v>
      </c>
      <c r="V5" s="173" t="n">
        <v>47.028476</v>
      </c>
      <c r="W5" s="173" t="n">
        <v>6.168625</v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West</t>
        </is>
      </c>
      <c r="D6" t="inlineStr">
        <is>
          <t>Pacific</t>
        </is>
      </c>
      <c r="E6" s="172" t="n">
        <v>2025</v>
      </c>
      <c r="F6" s="172" t="n">
        <v>39355309</v>
      </c>
      <c r="G6" s="172" t="n">
        <v>111</v>
      </c>
      <c r="H6" s="172" t="n">
        <v>125.666667</v>
      </c>
      <c r="I6" s="173" t="n">
        <v>3.20447</v>
      </c>
      <c r="J6" t="n">
        <v>122.789566</v>
      </c>
      <c r="K6" s="173" t="n">
        <v>3.120025</v>
      </c>
      <c r="L6" t="n">
        <v>109.742064</v>
      </c>
      <c r="M6" s="173" t="n">
        <v>2.788495</v>
      </c>
      <c r="N6" t="n">
        <v>99.49525800000001</v>
      </c>
      <c r="O6" s="173" t="n">
        <v>2.528128</v>
      </c>
      <c r="P6" t="n">
        <v>111</v>
      </c>
      <c r="Q6" s="173" t="n">
        <v>2.820458</v>
      </c>
      <c r="R6" t="n">
        <v>125.666667</v>
      </c>
      <c r="S6" s="173" t="n">
        <v>3.193131</v>
      </c>
      <c r="T6" s="173" t="n">
        <v>136.005799</v>
      </c>
      <c r="U6" s="173" t="n">
        <v>3.455844</v>
      </c>
      <c r="V6" s="173" t="n">
        <v>114.737873</v>
      </c>
      <c r="W6" s="173" t="n">
        <v>2.915436</v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West</t>
        </is>
      </c>
      <c r="D7" t="inlineStr">
        <is>
          <t>Mountain</t>
        </is>
      </c>
      <c r="E7" s="172" t="n">
        <v>2025</v>
      </c>
      <c r="F7" s="172" t="n">
        <v>6012561</v>
      </c>
      <c r="G7" s="172" t="n">
        <v>38</v>
      </c>
      <c r="H7" s="172" t="n">
        <v>39.666667</v>
      </c>
      <c r="I7" s="173" t="n">
        <v>6.704649</v>
      </c>
      <c r="J7" t="n">
        <v>39.085496</v>
      </c>
      <c r="K7" s="173" t="n">
        <v>6.50064</v>
      </c>
      <c r="L7" t="n">
        <v>32.987568</v>
      </c>
      <c r="M7" s="173" t="n">
        <v>5.486442</v>
      </c>
      <c r="N7" t="n">
        <v>37.988699</v>
      </c>
      <c r="O7" s="173" t="n">
        <v>6.318223</v>
      </c>
      <c r="P7" t="n">
        <v>38</v>
      </c>
      <c r="Q7" s="173" t="n">
        <v>6.320102</v>
      </c>
      <c r="R7" t="n">
        <v>39.666667</v>
      </c>
      <c r="S7" s="173" t="n">
        <v>6.5973</v>
      </c>
      <c r="T7" s="173" t="n">
        <v>20.778471</v>
      </c>
      <c r="U7" s="173" t="n">
        <v>3.455844</v>
      </c>
      <c r="V7" s="173" t="n">
        <v>38.685216</v>
      </c>
      <c r="W7" s="173" t="n">
        <v>6.434066</v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Northeast</t>
        </is>
      </c>
      <c r="D8" t="inlineStr">
        <is>
          <t>New England</t>
        </is>
      </c>
      <c r="E8" s="172" t="n">
        <v>2025</v>
      </c>
      <c r="F8" s="172" t="n">
        <v>3688496</v>
      </c>
      <c r="G8" s="172" t="n">
        <v>3</v>
      </c>
      <c r="H8" s="172" t="n">
        <v>3.333333</v>
      </c>
      <c r="I8" s="173" t="n">
        <v>0.913508</v>
      </c>
      <c r="J8" t="n">
        <v>2.819408</v>
      </c>
      <c r="K8" s="173" t="n">
        <v>0.764379</v>
      </c>
      <c r="L8" t="n">
        <v>3.273503</v>
      </c>
      <c r="M8" s="173" t="n">
        <v>0.88749</v>
      </c>
      <c r="N8" t="n">
        <v>6.795659</v>
      </c>
      <c r="O8" s="173" t="n">
        <v>1.842393</v>
      </c>
      <c r="P8" t="n">
        <v>3</v>
      </c>
      <c r="Q8" s="173" t="n">
        <v>0.81334</v>
      </c>
      <c r="R8" t="n">
        <v>3.333333</v>
      </c>
      <c r="S8" s="173" t="n">
        <v>0.903711</v>
      </c>
      <c r="T8" s="173" t="n">
        <v>12.746866</v>
      </c>
      <c r="U8" s="173" t="n">
        <v>3.455844</v>
      </c>
      <c r="V8" s="173" t="n">
        <v>3.9871</v>
      </c>
      <c r="W8" s="173" t="n">
        <v>1.080956</v>
      </c>
    </row>
    <row r="9">
      <c r="A9" t="inlineStr">
        <is>
          <t>DC</t>
        </is>
      </c>
      <c r="B9" t="inlineStr">
        <is>
          <t>District of Columbia</t>
        </is>
      </c>
      <c r="C9" t="inlineStr">
        <is>
          <t>South</t>
        </is>
      </c>
      <c r="D9" t="inlineStr">
        <is>
          <t>South Atlantic</t>
        </is>
      </c>
      <c r="E9" s="172" t="n">
        <v>2025</v>
      </c>
      <c r="F9" s="172" t="n">
        <v>693645</v>
      </c>
      <c r="G9" s="172" t="n">
        <v>2</v>
      </c>
      <c r="H9" s="172" t="n">
        <v>3</v>
      </c>
      <c r="I9" s="173" t="n">
        <v>4.400363</v>
      </c>
      <c r="J9" t="n">
        <v>0</v>
      </c>
      <c r="K9" s="173" t="n">
        <v>0</v>
      </c>
      <c r="L9" t="n">
        <v>4.966076</v>
      </c>
      <c r="M9" s="173" t="n">
        <v>7.159392</v>
      </c>
      <c r="N9" t="n">
        <v>4.116148</v>
      </c>
      <c r="O9" s="173" t="n">
        <v>5.934085</v>
      </c>
      <c r="P9" t="n">
        <v>2</v>
      </c>
      <c r="Q9" s="173" t="n">
        <v>2.883319</v>
      </c>
      <c r="R9" t="n">
        <v>3</v>
      </c>
      <c r="S9" s="173" t="n">
        <v>4.324979</v>
      </c>
      <c r="T9" s="173" t="n">
        <v>2.397129</v>
      </c>
      <c r="U9" s="173" t="n">
        <v>3.455844</v>
      </c>
      <c r="V9" s="173" t="n">
        <v>2.279037</v>
      </c>
      <c r="W9" s="173" t="n">
        <v>3.285596</v>
      </c>
    </row>
    <row r="10">
      <c r="A10" t="inlineStr">
        <is>
          <t>DE</t>
        </is>
      </c>
      <c r="B10" t="inlineStr">
        <is>
          <t>Delaware</t>
        </is>
      </c>
      <c r="C10" t="inlineStr">
        <is>
          <t>South</t>
        </is>
      </c>
      <c r="D10" t="inlineStr">
        <is>
          <t>South Atlantic</t>
        </is>
      </c>
      <c r="E10" s="172" t="n">
        <v>2025</v>
      </c>
      <c r="F10" s="172" t="n">
        <v>1059952</v>
      </c>
      <c r="G10" s="172" t="n">
        <v>2</v>
      </c>
      <c r="H10" s="172" t="n">
        <v>2</v>
      </c>
      <c r="I10" s="173" t="n">
        <v>1.932164</v>
      </c>
      <c r="J10" t="n">
        <v>13.885291</v>
      </c>
      <c r="K10" s="173" t="n">
        <v>13.099925</v>
      </c>
      <c r="L10" t="n">
        <v>7.484672</v>
      </c>
      <c r="M10" s="173" t="n">
        <v>7.061331</v>
      </c>
      <c r="N10" t="n">
        <v>3.599512</v>
      </c>
      <c r="O10" s="173" t="n">
        <v>3.39592</v>
      </c>
      <c r="P10" t="n">
        <v>2</v>
      </c>
      <c r="Q10" s="173" t="n">
        <v>1.886878</v>
      </c>
      <c r="R10" t="n">
        <v>2</v>
      </c>
      <c r="S10" s="173" t="n">
        <v>1.886878</v>
      </c>
      <c r="T10" s="173" t="n">
        <v>3.663029</v>
      </c>
      <c r="U10" s="173" t="n">
        <v>3.455844</v>
      </c>
      <c r="V10" s="173" t="n">
        <v>5.371201</v>
      </c>
      <c r="W10" s="173" t="n">
        <v>5.0674</v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South</t>
        </is>
      </c>
      <c r="D11" t="inlineStr">
        <is>
          <t>South Atlantic</t>
        </is>
      </c>
      <c r="E11" s="172" t="n">
        <v>2025</v>
      </c>
      <c r="F11" s="172" t="n">
        <v>23462518</v>
      </c>
      <c r="G11" s="172" t="n">
        <v>81</v>
      </c>
      <c r="H11" s="172" t="n">
        <v>74.666667</v>
      </c>
      <c r="I11" s="173" t="n">
        <v>3.260078</v>
      </c>
      <c r="J11" t="n">
        <v>77.686938</v>
      </c>
      <c r="K11" s="173" t="n">
        <v>3.311108</v>
      </c>
      <c r="L11" t="n">
        <v>71.29015200000001</v>
      </c>
      <c r="M11" s="173" t="n">
        <v>3.03847</v>
      </c>
      <c r="N11" t="n">
        <v>80.331039</v>
      </c>
      <c r="O11" s="173" t="n">
        <v>3.423803</v>
      </c>
      <c r="P11" t="n">
        <v>81</v>
      </c>
      <c r="Q11" s="173" t="n">
        <v>3.452315</v>
      </c>
      <c r="R11" t="n">
        <v>74.666667</v>
      </c>
      <c r="S11" s="173" t="n">
        <v>3.182381</v>
      </c>
      <c r="T11" s="173" t="n">
        <v>81.082796</v>
      </c>
      <c r="U11" s="173" t="n">
        <v>3.455844</v>
      </c>
      <c r="V11" s="173" t="n">
        <v>78.421161</v>
      </c>
      <c r="W11" s="173" t="n">
        <v>3.342402</v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South</t>
        </is>
      </c>
      <c r="D12" t="inlineStr">
        <is>
          <t>South Atlantic</t>
        </is>
      </c>
      <c r="E12" s="172" t="n">
        <v>2025</v>
      </c>
      <c r="F12" s="172" t="n">
        <v>11302748</v>
      </c>
      <c r="G12" s="172" t="n">
        <v>38</v>
      </c>
      <c r="H12" s="172" t="n">
        <v>45.333333</v>
      </c>
      <c r="I12" s="173" t="n">
        <v>4.10119</v>
      </c>
      <c r="J12" t="n">
        <v>48.754393</v>
      </c>
      <c r="K12" s="173" t="n">
        <v>4.313499</v>
      </c>
      <c r="L12" t="n">
        <v>39.873058</v>
      </c>
      <c r="M12" s="173" t="n">
        <v>3.527731</v>
      </c>
      <c r="N12" t="n">
        <v>50.182314</v>
      </c>
      <c r="O12" s="173" t="n">
        <v>4.439833</v>
      </c>
      <c r="P12" t="n">
        <v>38</v>
      </c>
      <c r="Q12" s="173" t="n">
        <v>3.362014</v>
      </c>
      <c r="R12" t="n">
        <v>45.333333</v>
      </c>
      <c r="S12" s="173" t="n">
        <v>4.010824</v>
      </c>
      <c r="T12" s="173" t="n">
        <v>39.060531</v>
      </c>
      <c r="U12" s="173" t="n">
        <v>3.455844</v>
      </c>
      <c r="V12" s="173" t="n">
        <v>45.56751</v>
      </c>
      <c r="W12" s="173" t="n">
        <v>4.031543</v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West</t>
        </is>
      </c>
      <c r="D13" t="inlineStr">
        <is>
          <t>Pacific</t>
        </is>
      </c>
      <c r="E13" s="172" t="n">
        <v>2025</v>
      </c>
      <c r="F13" s="172" t="n">
        <v>1432820</v>
      </c>
      <c r="G13" s="172" t="n">
        <v>4</v>
      </c>
      <c r="H13" s="172" t="n">
        <v>3.333333</v>
      </c>
      <c r="I13" s="173" t="n">
        <v>2.322035</v>
      </c>
      <c r="J13" t="n">
        <v>0</v>
      </c>
      <c r="K13" s="173" t="n">
        <v>0</v>
      </c>
      <c r="L13" t="n">
        <v>6.576474</v>
      </c>
      <c r="M13" s="173" t="n">
        <v>4.589882</v>
      </c>
      <c r="N13" t="n">
        <v>6.347404</v>
      </c>
      <c r="O13" s="173" t="n">
        <v>4.430008</v>
      </c>
      <c r="P13" t="n">
        <v>4</v>
      </c>
      <c r="Q13" s="173" t="n">
        <v>2.791697</v>
      </c>
      <c r="R13" t="n">
        <v>3.333333</v>
      </c>
      <c r="S13" s="173" t="n">
        <v>2.326415</v>
      </c>
      <c r="T13" s="173" t="n">
        <v>4.951602</v>
      </c>
      <c r="U13" s="173" t="n">
        <v>3.455844</v>
      </c>
      <c r="V13" s="173" t="n">
        <v>3.420184</v>
      </c>
      <c r="W13" s="173" t="n">
        <v>2.38703</v>
      </c>
    </row>
    <row r="14">
      <c r="A14" t="inlineStr">
        <is>
          <t>IA</t>
        </is>
      </c>
      <c r="B14" t="inlineStr">
        <is>
          <t>Iowa</t>
        </is>
      </c>
      <c r="C14" t="inlineStr">
        <is>
          <t>Midwest</t>
        </is>
      </c>
      <c r="D14" t="inlineStr">
        <is>
          <t>West North Central</t>
        </is>
      </c>
      <c r="E14" s="172" t="n">
        <v>2025</v>
      </c>
      <c r="F14" s="172" t="n">
        <v>3238387</v>
      </c>
      <c r="G14" s="172" t="n">
        <v>9</v>
      </c>
      <c r="H14" s="172" t="n">
        <v>6.333333</v>
      </c>
      <c r="I14" s="173" t="n">
        <v>1.968049</v>
      </c>
      <c r="J14" t="n">
        <v>8.707914000000001</v>
      </c>
      <c r="K14" s="173" t="n">
        <v>2.688966</v>
      </c>
      <c r="L14" t="n">
        <v>10.566857</v>
      </c>
      <c r="M14" s="173" t="n">
        <v>3.263</v>
      </c>
      <c r="N14" t="n">
        <v>8.25203</v>
      </c>
      <c r="O14" s="173" t="n">
        <v>2.548191</v>
      </c>
      <c r="P14" t="n">
        <v>9</v>
      </c>
      <c r="Q14" s="173" t="n">
        <v>2.779161</v>
      </c>
      <c r="R14" t="n">
        <v>6.333333</v>
      </c>
      <c r="S14" s="173" t="n">
        <v>1.955706</v>
      </c>
      <c r="T14" s="173" t="n">
        <v>11.19136</v>
      </c>
      <c r="U14" s="173" t="n">
        <v>3.455844</v>
      </c>
      <c r="V14" s="173" t="n">
        <v>8.073319</v>
      </c>
      <c r="W14" s="173" t="n">
        <v>2.493006</v>
      </c>
    </row>
    <row r="15">
      <c r="A15" t="inlineStr">
        <is>
          <t>ID</t>
        </is>
      </c>
      <c r="B15" t="inlineStr">
        <is>
          <t>Idaho</t>
        </is>
      </c>
      <c r="C15" t="inlineStr">
        <is>
          <t>West</t>
        </is>
      </c>
      <c r="D15" t="inlineStr">
        <is>
          <t>Mountain</t>
        </is>
      </c>
      <c r="E15" s="172" t="n">
        <v>2025</v>
      </c>
      <c r="F15" s="172" t="n">
        <v>2029733</v>
      </c>
      <c r="G15" s="172" t="n">
        <v>11</v>
      </c>
      <c r="H15" s="172" t="n">
        <v>10.666667</v>
      </c>
      <c r="I15" s="173" t="n">
        <v>5.401726</v>
      </c>
      <c r="J15" t="n">
        <v>12.374615</v>
      </c>
      <c r="K15" s="173" t="n">
        <v>6.096672</v>
      </c>
      <c r="L15" t="n">
        <v>10.428517</v>
      </c>
      <c r="M15" s="173" t="n">
        <v>5.137876</v>
      </c>
      <c r="N15" t="n">
        <v>12.7616</v>
      </c>
      <c r="O15" s="173" t="n">
        <v>6.287329</v>
      </c>
      <c r="P15" t="n">
        <v>11</v>
      </c>
      <c r="Q15" s="173" t="n">
        <v>5.419432</v>
      </c>
      <c r="R15" t="n">
        <v>10.666667</v>
      </c>
      <c r="S15" s="173" t="n">
        <v>5.255207</v>
      </c>
      <c r="T15" s="173" t="n">
        <v>7.01444</v>
      </c>
      <c r="U15" s="173" t="n">
        <v>3.455844</v>
      </c>
      <c r="V15" s="173" t="n">
        <v>11.70072</v>
      </c>
      <c r="W15" s="173" t="n">
        <v>5.76466</v>
      </c>
    </row>
    <row r="16">
      <c r="A16" t="inlineStr">
        <is>
          <t>IL</t>
        </is>
      </c>
      <c r="B16" t="inlineStr">
        <is>
          <t>Illinois</t>
        </is>
      </c>
      <c r="C16" t="inlineStr">
        <is>
          <t>Midwest</t>
        </is>
      </c>
      <c r="D16" t="inlineStr">
        <is>
          <t>East North Central</t>
        </is>
      </c>
      <c r="E16" s="172" t="n">
        <v>2025</v>
      </c>
      <c r="F16" s="172" t="n">
        <v>12719141</v>
      </c>
      <c r="G16" s="172" t="n">
        <v>23</v>
      </c>
      <c r="H16" s="172" t="n">
        <v>24</v>
      </c>
      <c r="I16" s="173" t="n">
        <v>1.897597</v>
      </c>
      <c r="J16" t="n">
        <v>29.180297</v>
      </c>
      <c r="K16" s="173" t="n">
        <v>2.294203</v>
      </c>
      <c r="L16" t="n">
        <v>20.782708</v>
      </c>
      <c r="M16" s="173" t="n">
        <v>1.633971</v>
      </c>
      <c r="N16" t="n">
        <v>25.998576</v>
      </c>
      <c r="O16" s="173" t="n">
        <v>2.044051</v>
      </c>
      <c r="P16" t="n">
        <v>23</v>
      </c>
      <c r="Q16" s="173" t="n">
        <v>1.808298</v>
      </c>
      <c r="R16" t="n">
        <v>24</v>
      </c>
      <c r="S16" s="173" t="n">
        <v>1.88692</v>
      </c>
      <c r="T16" s="173" t="n">
        <v>43.955364</v>
      </c>
      <c r="U16" s="173" t="n">
        <v>3.455844</v>
      </c>
      <c r="V16" s="173" t="n">
        <v>25.544718</v>
      </c>
      <c r="W16" s="173" t="n">
        <v>2.008368</v>
      </c>
    </row>
    <row r="17">
      <c r="A17" t="inlineStr">
        <is>
          <t>IN</t>
        </is>
      </c>
      <c r="B17" t="inlineStr">
        <is>
          <t>Indiana</t>
        </is>
      </c>
      <c r="C17" t="inlineStr">
        <is>
          <t>Midwest</t>
        </is>
      </c>
      <c r="D17" t="inlineStr">
        <is>
          <t>East North Central</t>
        </is>
      </c>
      <c r="E17" s="172" t="n">
        <v>2025</v>
      </c>
      <c r="F17" s="172" t="n">
        <v>6973333</v>
      </c>
      <c r="G17" s="172" t="n">
        <v>32</v>
      </c>
      <c r="H17" s="172" t="n">
        <v>27.333333</v>
      </c>
      <c r="I17" s="173" t="n">
        <v>3.964944</v>
      </c>
      <c r="J17" t="n">
        <v>18.263638</v>
      </c>
      <c r="K17" s="173" t="n">
        <v>2.619069</v>
      </c>
      <c r="L17" t="n">
        <v>13.624587</v>
      </c>
      <c r="M17" s="173" t="n">
        <v>1.953813</v>
      </c>
      <c r="N17" t="n">
        <v>28.628654</v>
      </c>
      <c r="O17" s="173" t="n">
        <v>4.105448</v>
      </c>
      <c r="P17" t="n">
        <v>32</v>
      </c>
      <c r="Q17" s="173" t="n">
        <v>4.58891</v>
      </c>
      <c r="R17" t="n">
        <v>27.333333</v>
      </c>
      <c r="S17" s="173" t="n">
        <v>3.919694</v>
      </c>
      <c r="T17" s="173" t="n">
        <v>24.098749</v>
      </c>
      <c r="U17" s="173" t="n">
        <v>3.455844</v>
      </c>
      <c r="V17" s="173" t="n">
        <v>26.556406</v>
      </c>
      <c r="W17" s="173" t="n">
        <v>3.80828</v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Midwest</t>
        </is>
      </c>
      <c r="D18" t="inlineStr">
        <is>
          <t>West North Central</t>
        </is>
      </c>
      <c r="E18" s="172" t="n">
        <v>2025</v>
      </c>
      <c r="F18" s="172" t="n">
        <v>2977220</v>
      </c>
      <c r="G18" s="172" t="n">
        <v>13</v>
      </c>
      <c r="H18" s="172" t="n">
        <v>11.333333</v>
      </c>
      <c r="I18" s="173" t="n">
        <v>3.839861</v>
      </c>
      <c r="J18" t="n">
        <v>10.896672</v>
      </c>
      <c r="K18" s="173" t="n">
        <v>3.660016</v>
      </c>
      <c r="L18" t="n">
        <v>8.354194</v>
      </c>
      <c r="M18" s="173" t="n">
        <v>2.806039</v>
      </c>
      <c r="N18" t="n">
        <v>12.420948</v>
      </c>
      <c r="O18" s="173" t="n">
        <v>4.171995</v>
      </c>
      <c r="P18" t="n">
        <v>13</v>
      </c>
      <c r="Q18" s="173" t="n">
        <v>4.36649</v>
      </c>
      <c r="R18" t="n">
        <v>11.333333</v>
      </c>
      <c r="S18" s="173" t="n">
        <v>3.806683</v>
      </c>
      <c r="T18" s="173" t="n">
        <v>10.288807</v>
      </c>
      <c r="U18" s="173" t="n">
        <v>3.455844</v>
      </c>
      <c r="V18" s="173" t="n">
        <v>11.912738</v>
      </c>
      <c r="W18" s="173" t="n">
        <v>4.001296</v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South</t>
        </is>
      </c>
      <c r="D19" t="inlineStr">
        <is>
          <t>East South Central</t>
        </is>
      </c>
      <c r="E19" s="172" t="n">
        <v>2025</v>
      </c>
      <c r="F19" s="172" t="n">
        <v>4606864</v>
      </c>
      <c r="G19" s="172" t="n">
        <v>17</v>
      </c>
      <c r="H19" s="172" t="n">
        <v>17</v>
      </c>
      <c r="I19" s="173" t="n">
        <v>3.734484</v>
      </c>
      <c r="J19" t="n">
        <v>18.333718</v>
      </c>
      <c r="K19" s="173" t="n">
        <v>3.979652</v>
      </c>
      <c r="L19" t="n">
        <v>11.800055</v>
      </c>
      <c r="M19" s="173" t="n">
        <v>2.561407</v>
      </c>
      <c r="N19" t="n">
        <v>17.121897</v>
      </c>
      <c r="O19" s="173" t="n">
        <v>3.716606</v>
      </c>
      <c r="P19" t="n">
        <v>17</v>
      </c>
      <c r="Q19" s="173" t="n">
        <v>3.690146</v>
      </c>
      <c r="R19" t="n">
        <v>17</v>
      </c>
      <c r="S19" s="173" t="n">
        <v>3.690146</v>
      </c>
      <c r="T19" s="173" t="n">
        <v>15.920602</v>
      </c>
      <c r="U19" s="173" t="n">
        <v>3.455844</v>
      </c>
      <c r="V19" s="173" t="n">
        <v>17.363904</v>
      </c>
      <c r="W19" s="173" t="n">
        <v>3.769137</v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South</t>
        </is>
      </c>
      <c r="D20" t="inlineStr">
        <is>
          <t>West South Central</t>
        </is>
      </c>
      <c r="E20" s="172" t="n">
        <v>2025</v>
      </c>
      <c r="F20" s="172" t="n">
        <v>4618189</v>
      </c>
      <c r="G20" s="172" t="n">
        <v>20</v>
      </c>
      <c r="H20" s="172" t="n">
        <v>19.666667</v>
      </c>
      <c r="I20" s="173" t="n">
        <v>4.270808</v>
      </c>
      <c r="J20" t="n">
        <v>27.787611</v>
      </c>
      <c r="K20" s="173" t="n">
        <v>6.016993</v>
      </c>
      <c r="L20" t="n">
        <v>27.698399</v>
      </c>
      <c r="M20" s="173" t="n">
        <v>5.997675</v>
      </c>
      <c r="N20" t="n">
        <v>20.996246</v>
      </c>
      <c r="O20" s="173" t="n">
        <v>4.546424</v>
      </c>
      <c r="P20" t="n">
        <v>20</v>
      </c>
      <c r="Q20" s="173" t="n">
        <v>4.330702</v>
      </c>
      <c r="R20" t="n">
        <v>19.666667</v>
      </c>
      <c r="S20" s="173" t="n">
        <v>4.258524</v>
      </c>
      <c r="T20" s="173" t="n">
        <v>15.95974</v>
      </c>
      <c r="U20" s="173" t="n">
        <v>3.455844</v>
      </c>
      <c r="V20" s="173" t="n">
        <v>22.112631</v>
      </c>
      <c r="W20" s="173" t="n">
        <v>4.788161</v>
      </c>
    </row>
    <row r="21">
      <c r="A21" t="inlineStr">
        <is>
          <t>MA</t>
        </is>
      </c>
      <c r="B21" t="inlineStr">
        <is>
          <t>Massachusetts</t>
        </is>
      </c>
      <c r="C21" t="inlineStr">
        <is>
          <t>Northeast</t>
        </is>
      </c>
      <c r="D21" t="inlineStr">
        <is>
          <t>New England</t>
        </is>
      </c>
      <c r="E21" s="172" t="n">
        <v>2025</v>
      </c>
      <c r="F21" s="172" t="n">
        <v>7154084</v>
      </c>
      <c r="G21" s="172" t="n">
        <v>2</v>
      </c>
      <c r="H21" s="172" t="n">
        <v>4</v>
      </c>
      <c r="I21" s="173" t="n">
        <v>0.566244</v>
      </c>
      <c r="J21" t="n">
        <v>6.874489</v>
      </c>
      <c r="K21" s="173" t="n">
        <v>0.960918</v>
      </c>
      <c r="L21" t="n">
        <v>6.158438</v>
      </c>
      <c r="M21" s="173" t="n">
        <v>0.860828</v>
      </c>
      <c r="N21" t="n">
        <v>7.550684</v>
      </c>
      <c r="O21" s="173" t="n">
        <v>1.055437</v>
      </c>
      <c r="P21" t="n">
        <v>2</v>
      </c>
      <c r="Q21" s="173" t="n">
        <v>0.279561</v>
      </c>
      <c r="R21" t="n">
        <v>4</v>
      </c>
      <c r="S21" s="173" t="n">
        <v>0.559121</v>
      </c>
      <c r="T21" s="173" t="n">
        <v>24.723397</v>
      </c>
      <c r="U21" s="173" t="n">
        <v>3.455844</v>
      </c>
      <c r="V21" s="173" t="n">
        <v>5.106293</v>
      </c>
      <c r="W21" s="173" t="n">
        <v>0.713759</v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South</t>
        </is>
      </c>
      <c r="D22" t="inlineStr">
        <is>
          <t>South Atlantic</t>
        </is>
      </c>
      <c r="E22" s="172" t="n">
        <v>2025</v>
      </c>
      <c r="F22" s="172" t="n">
        <v>6265347</v>
      </c>
      <c r="G22" s="172" t="n">
        <v>11</v>
      </c>
      <c r="H22" s="172" t="n">
        <v>9.666667</v>
      </c>
      <c r="I22" s="173" t="n">
        <v>1.556151</v>
      </c>
      <c r="J22" t="n">
        <v>5.809398</v>
      </c>
      <c r="K22" s="173" t="n">
        <v>0.927227</v>
      </c>
      <c r="L22" t="n">
        <v>8.05702</v>
      </c>
      <c r="M22" s="173" t="n">
        <v>1.285966</v>
      </c>
      <c r="N22" t="n">
        <v>11.618605</v>
      </c>
      <c r="O22" s="173" t="n">
        <v>1.854423</v>
      </c>
      <c r="P22" t="n">
        <v>11</v>
      </c>
      <c r="Q22" s="173" t="n">
        <v>1.755689</v>
      </c>
      <c r="R22" t="n">
        <v>9.666667</v>
      </c>
      <c r="S22" s="173" t="n">
        <v>1.542878</v>
      </c>
      <c r="T22" s="173" t="n">
        <v>21.65206</v>
      </c>
      <c r="U22" s="173" t="n">
        <v>3.455844</v>
      </c>
      <c r="V22" s="173" t="n">
        <v>9.523667</v>
      </c>
      <c r="W22" s="173" t="n">
        <v>1.520054</v>
      </c>
    </row>
    <row r="23">
      <c r="A23" t="inlineStr">
        <is>
          <t>ME</t>
        </is>
      </c>
      <c r="B23" t="inlineStr">
        <is>
          <t>Maine</t>
        </is>
      </c>
      <c r="C23" t="inlineStr">
        <is>
          <t>Northeast</t>
        </is>
      </c>
      <c r="D23" t="inlineStr">
        <is>
          <t>New England</t>
        </is>
      </c>
      <c r="E23" s="172" t="n">
        <v>2025</v>
      </c>
      <c r="F23" s="172" t="n">
        <v>1414874</v>
      </c>
      <c r="G23" s="172" t="n">
        <v>10</v>
      </c>
      <c r="H23" s="172" t="n">
        <v>6.666667</v>
      </c>
      <c r="I23" s="173" t="n">
        <v>4.753148</v>
      </c>
      <c r="J23" t="n">
        <v>2.27668</v>
      </c>
      <c r="K23" s="173" t="n">
        <v>1.609104</v>
      </c>
      <c r="L23" t="n">
        <v>4.589039</v>
      </c>
      <c r="M23" s="173" t="n">
        <v>3.243426</v>
      </c>
      <c r="N23" t="n">
        <v>8.205235</v>
      </c>
      <c r="O23" s="173" t="n">
        <v>5.799269</v>
      </c>
      <c r="P23" t="n">
        <v>10</v>
      </c>
      <c r="Q23" s="173" t="n">
        <v>7.067767</v>
      </c>
      <c r="R23" t="n">
        <v>6.666667</v>
      </c>
      <c r="S23" s="173" t="n">
        <v>4.711845</v>
      </c>
      <c r="T23" s="173" t="n">
        <v>4.889583</v>
      </c>
      <c r="U23" s="173" t="n">
        <v>3.455844</v>
      </c>
      <c r="V23" s="173" t="n">
        <v>6.787145</v>
      </c>
      <c r="W23" s="173" t="n">
        <v>4.796996</v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Midwest</t>
        </is>
      </c>
      <c r="D24" t="inlineStr">
        <is>
          <t>East North Central</t>
        </is>
      </c>
      <c r="E24" s="172" t="n">
        <v>2025</v>
      </c>
      <c r="F24" s="172" t="n">
        <v>10127884</v>
      </c>
      <c r="G24" s="172" t="n">
        <v>21</v>
      </c>
      <c r="H24" s="172" t="n">
        <v>23.333333</v>
      </c>
      <c r="I24" s="173" t="n">
        <v>2.317523</v>
      </c>
      <c r="J24" t="n">
        <v>21.39225</v>
      </c>
      <c r="K24" s="173" t="n">
        <v>2.112213</v>
      </c>
      <c r="L24" t="n">
        <v>16.34128</v>
      </c>
      <c r="M24" s="173" t="n">
        <v>1.613494</v>
      </c>
      <c r="N24" t="n">
        <v>23.126796</v>
      </c>
      <c r="O24" s="173" t="n">
        <v>2.283478</v>
      </c>
      <c r="P24" t="n">
        <v>21</v>
      </c>
      <c r="Q24" s="173" t="n">
        <v>2.073483</v>
      </c>
      <c r="R24" t="n">
        <v>23.333333</v>
      </c>
      <c r="S24" s="173" t="n">
        <v>2.303871</v>
      </c>
      <c r="T24" s="173" t="n">
        <v>35.000385</v>
      </c>
      <c r="U24" s="173" t="n">
        <v>3.455844</v>
      </c>
      <c r="V24" s="173" t="n">
        <v>22.213095</v>
      </c>
      <c r="W24" s="173" t="n">
        <v>2.193261</v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Midwest</t>
        </is>
      </c>
      <c r="D25" t="inlineStr">
        <is>
          <t>West North Central</t>
        </is>
      </c>
      <c r="E25" s="172" t="n">
        <v>2025</v>
      </c>
      <c r="F25" s="172" t="n">
        <v>5830405</v>
      </c>
      <c r="G25" s="172" t="n">
        <v>11</v>
      </c>
      <c r="H25" s="172" t="n">
        <v>9.333333</v>
      </c>
      <c r="I25" s="173" t="n">
        <v>1.619776</v>
      </c>
      <c r="J25" t="n">
        <v>4.548775</v>
      </c>
      <c r="K25" s="173" t="n">
        <v>0.780182</v>
      </c>
      <c r="L25" t="n">
        <v>5.395583</v>
      </c>
      <c r="M25" s="173" t="n">
        <v>0.925422</v>
      </c>
      <c r="N25" t="n">
        <v>12.087406</v>
      </c>
      <c r="O25" s="173" t="n">
        <v>2.073167</v>
      </c>
      <c r="P25" t="n">
        <v>11</v>
      </c>
      <c r="Q25" s="173" t="n">
        <v>1.886661</v>
      </c>
      <c r="R25" t="n">
        <v>9.333333</v>
      </c>
      <c r="S25" s="173" t="n">
        <v>1.600804</v>
      </c>
      <c r="T25" s="173" t="n">
        <v>20.148969</v>
      </c>
      <c r="U25" s="173" t="n">
        <v>3.455844</v>
      </c>
      <c r="V25" s="173" t="n">
        <v>9.242378</v>
      </c>
      <c r="W25" s="173" t="n">
        <v>1.585203</v>
      </c>
    </row>
    <row r="26">
      <c r="A26" t="inlineStr">
        <is>
          <t>MO</t>
        </is>
      </c>
      <c r="B26" t="inlineStr">
        <is>
          <t>Missouri</t>
        </is>
      </c>
      <c r="C26" t="inlineStr">
        <is>
          <t>Midwest</t>
        </is>
      </c>
      <c r="D26" t="inlineStr">
        <is>
          <t>West North Central</t>
        </is>
      </c>
      <c r="E26" s="172" t="n">
        <v>2025</v>
      </c>
      <c r="F26" s="172" t="n">
        <v>6270541</v>
      </c>
      <c r="G26" s="172" t="n">
        <v>26</v>
      </c>
      <c r="H26" s="172" t="n">
        <v>27.333333</v>
      </c>
      <c r="I26" s="173" t="n">
        <v>4.402687</v>
      </c>
      <c r="J26" t="n">
        <v>26.734185</v>
      </c>
      <c r="K26" s="173" t="n">
        <v>4.263458</v>
      </c>
      <c r="L26" t="n">
        <v>16.658336</v>
      </c>
      <c r="M26" s="173" t="n">
        <v>2.656603</v>
      </c>
      <c r="N26" t="n">
        <v>30.540931</v>
      </c>
      <c r="O26" s="173" t="n">
        <v>4.870542</v>
      </c>
      <c r="P26" t="n">
        <v>26</v>
      </c>
      <c r="Q26" s="173" t="n">
        <v>4.146373</v>
      </c>
      <c r="R26" t="n">
        <v>27.333333</v>
      </c>
      <c r="S26" s="173" t="n">
        <v>4.359007</v>
      </c>
      <c r="T26" s="173" t="n">
        <v>21.67001</v>
      </c>
      <c r="U26" s="173" t="n">
        <v>3.455844</v>
      </c>
      <c r="V26" s="173" t="n">
        <v>27.652112</v>
      </c>
      <c r="W26" s="173" t="n">
        <v>4.409845</v>
      </c>
    </row>
    <row r="27">
      <c r="A27" t="inlineStr">
        <is>
          <t>MS</t>
        </is>
      </c>
      <c r="B27" t="inlineStr">
        <is>
          <t>Mississippi</t>
        </is>
      </c>
      <c r="C27" t="inlineStr">
        <is>
          <t>South</t>
        </is>
      </c>
      <c r="D27" t="inlineStr">
        <is>
          <t>East South Central</t>
        </is>
      </c>
      <c r="E27" s="172" t="n">
        <v>2025</v>
      </c>
      <c r="F27" s="172" t="n">
        <v>2954160</v>
      </c>
      <c r="G27" s="172" t="n">
        <v>17</v>
      </c>
      <c r="H27" s="172" t="n">
        <v>15.333333</v>
      </c>
      <c r="I27" s="173" t="n">
        <v>5.206631</v>
      </c>
      <c r="J27" t="n">
        <v>17.543365</v>
      </c>
      <c r="K27" s="173" t="n">
        <v>5.938529</v>
      </c>
      <c r="L27" t="n">
        <v>16.548413</v>
      </c>
      <c r="M27" s="173" t="n">
        <v>5.601732</v>
      </c>
      <c r="N27" t="n">
        <v>17.261268</v>
      </c>
      <c r="O27" s="173" t="n">
        <v>5.843038</v>
      </c>
      <c r="P27" t="n">
        <v>17</v>
      </c>
      <c r="Q27" s="173" t="n">
        <v>5.754597</v>
      </c>
      <c r="R27" t="n">
        <v>15.333333</v>
      </c>
      <c r="S27" s="173" t="n">
        <v>5.190421</v>
      </c>
      <c r="T27" s="173" t="n">
        <v>10.209115</v>
      </c>
      <c r="U27" s="173" t="n">
        <v>3.455844</v>
      </c>
      <c r="V27" s="173" t="n">
        <v>16.784492</v>
      </c>
      <c r="W27" s="173" t="n">
        <v>5.681646</v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West</t>
        </is>
      </c>
      <c r="D28" t="inlineStr">
        <is>
          <t>Mountain</t>
        </is>
      </c>
      <c r="E28" s="172" t="n">
        <v>2025</v>
      </c>
      <c r="F28" s="172" t="n">
        <v>1144694</v>
      </c>
      <c r="G28" s="172" t="n">
        <v>11</v>
      </c>
      <c r="H28" s="172" t="n">
        <v>8.333333</v>
      </c>
      <c r="I28" s="173" t="n">
        <v>7.367546</v>
      </c>
      <c r="J28" t="n">
        <v>12.096384</v>
      </c>
      <c r="K28" s="173" t="n">
        <v>10.567351</v>
      </c>
      <c r="L28" t="n">
        <v>11.282718</v>
      </c>
      <c r="M28" s="173" t="n">
        <v>9.856536</v>
      </c>
      <c r="N28" t="n">
        <v>8.705684</v>
      </c>
      <c r="O28" s="173" t="n">
        <v>7.60525</v>
      </c>
      <c r="P28" t="n">
        <v>11</v>
      </c>
      <c r="Q28" s="173" t="n">
        <v>9.609555</v>
      </c>
      <c r="R28" t="n">
        <v>8.333333</v>
      </c>
      <c r="S28" s="173" t="n">
        <v>7.279966</v>
      </c>
      <c r="T28" s="173" t="n">
        <v>3.955884</v>
      </c>
      <c r="U28" s="173" t="n">
        <v>3.455844</v>
      </c>
      <c r="V28" s="173" t="n">
        <v>10.03385</v>
      </c>
      <c r="W28" s="173" t="n">
        <v>8.765530999999999</v>
      </c>
    </row>
    <row r="29">
      <c r="A29" t="inlineStr">
        <is>
          <t>NC</t>
        </is>
      </c>
      <c r="B29" t="inlineStr">
        <is>
          <t>North Carolina</t>
        </is>
      </c>
      <c r="C29" t="inlineStr">
        <is>
          <t>South</t>
        </is>
      </c>
      <c r="D29" t="inlineStr">
        <is>
          <t>South Atlantic</t>
        </is>
      </c>
      <c r="E29" s="172" t="n">
        <v>2025</v>
      </c>
      <c r="F29" s="172" t="n">
        <v>11197968</v>
      </c>
      <c r="G29" s="172" t="n">
        <v>41</v>
      </c>
      <c r="H29" s="172" t="n">
        <v>38</v>
      </c>
      <c r="I29" s="173" t="n">
        <v>3.489989</v>
      </c>
      <c r="J29" t="n">
        <v>41.487487</v>
      </c>
      <c r="K29" s="173" t="n">
        <v>3.704912</v>
      </c>
      <c r="L29" t="n">
        <v>33.410059</v>
      </c>
      <c r="M29" s="173" t="n">
        <v>2.983582</v>
      </c>
      <c r="N29" t="n">
        <v>39.452964</v>
      </c>
      <c r="O29" s="173" t="n">
        <v>3.523225</v>
      </c>
      <c r="P29" t="n">
        <v>41</v>
      </c>
      <c r="Q29" s="173" t="n">
        <v>3.661379</v>
      </c>
      <c r="R29" t="n">
        <v>38</v>
      </c>
      <c r="S29" s="173" t="n">
        <v>3.393473</v>
      </c>
      <c r="T29" s="173" t="n">
        <v>38.698428</v>
      </c>
      <c r="U29" s="173" t="n">
        <v>3.455844</v>
      </c>
      <c r="V29" s="173" t="n">
        <v>39.985113</v>
      </c>
      <c r="W29" s="173" t="n">
        <v>3.570747</v>
      </c>
    </row>
    <row r="30">
      <c r="A30" t="inlineStr">
        <is>
          <t>ND</t>
        </is>
      </c>
      <c r="B30" t="inlineStr">
        <is>
          <t>North Dakota</t>
        </is>
      </c>
      <c r="C30" t="inlineStr">
        <is>
          <t>Midwest</t>
        </is>
      </c>
      <c r="D30" t="inlineStr">
        <is>
          <t>West North Central</t>
        </is>
      </c>
      <c r="E30" s="172" t="n">
        <v>2025</v>
      </c>
      <c r="F30" s="172" t="n">
        <v>799358</v>
      </c>
      <c r="G30" s="172" t="n">
        <v>7</v>
      </c>
      <c r="H30" s="172" t="n">
        <v>4</v>
      </c>
      <c r="I30" s="173" t="n">
        <v>5.069737</v>
      </c>
      <c r="J30" t="n">
        <v>0</v>
      </c>
      <c r="K30" s="173" t="n">
        <v>0</v>
      </c>
      <c r="L30" t="n">
        <v>2.645539</v>
      </c>
      <c r="M30" s="173" t="n">
        <v>3.30958</v>
      </c>
      <c r="N30" t="n">
        <v>6.792535</v>
      </c>
      <c r="O30" s="173" t="n">
        <v>8.497487</v>
      </c>
      <c r="P30" t="n">
        <v>7</v>
      </c>
      <c r="Q30" s="173" t="n">
        <v>8.757028</v>
      </c>
      <c r="R30" t="n">
        <v>4</v>
      </c>
      <c r="S30" s="173" t="n">
        <v>5.004016</v>
      </c>
      <c r="T30" s="173" t="n">
        <v>2.762456</v>
      </c>
      <c r="U30" s="173" t="n">
        <v>3.455844</v>
      </c>
      <c r="V30" s="173" t="n">
        <v>4.448134</v>
      </c>
      <c r="W30" s="173" t="n">
        <v>5.564633</v>
      </c>
    </row>
    <row r="31">
      <c r="A31" t="inlineStr">
        <is>
          <t>NE</t>
        </is>
      </c>
      <c r="B31" t="inlineStr">
        <is>
          <t>Nebraska</t>
        </is>
      </c>
      <c r="C31" t="inlineStr">
        <is>
          <t>Midwest</t>
        </is>
      </c>
      <c r="D31" t="inlineStr">
        <is>
          <t>West North Central</t>
        </is>
      </c>
      <c r="E31" s="172" t="n">
        <v>2025</v>
      </c>
      <c r="F31" s="172" t="n">
        <v>2018006</v>
      </c>
      <c r="G31" s="172" t="n">
        <v>4</v>
      </c>
      <c r="H31" s="172" t="n">
        <v>4.333333</v>
      </c>
      <c r="I31" s="173" t="n">
        <v>2.179028</v>
      </c>
      <c r="J31" t="n">
        <v>0</v>
      </c>
      <c r="K31" s="173" t="n">
        <v>0</v>
      </c>
      <c r="L31" t="n">
        <v>4.265586</v>
      </c>
      <c r="M31" s="173" t="n">
        <v>2.113763</v>
      </c>
      <c r="N31" t="n">
        <v>6.678544</v>
      </c>
      <c r="O31" s="173" t="n">
        <v>3.309477</v>
      </c>
      <c r="P31" t="n">
        <v>4</v>
      </c>
      <c r="Q31" s="173" t="n">
        <v>1.982155</v>
      </c>
      <c r="R31" t="n">
        <v>4.333333</v>
      </c>
      <c r="S31" s="173" t="n">
        <v>2.147334</v>
      </c>
      <c r="T31" s="173" t="n">
        <v>6.973913</v>
      </c>
      <c r="U31" s="173" t="n">
        <v>3.455844</v>
      </c>
      <c r="V31" s="173" t="n">
        <v>3.752969</v>
      </c>
      <c r="W31" s="173" t="n">
        <v>1.859741</v>
      </c>
    </row>
    <row r="32">
      <c r="A32" t="inlineStr">
        <is>
          <t>NH</t>
        </is>
      </c>
      <c r="B32" t="inlineStr">
        <is>
          <t>New Hampshire</t>
        </is>
      </c>
      <c r="C32" t="inlineStr">
        <is>
          <t>Northeast</t>
        </is>
      </c>
      <c r="D32" t="inlineStr">
        <is>
          <t>New England</t>
        </is>
      </c>
      <c r="E32" s="172" t="n">
        <v>2025</v>
      </c>
      <c r="F32" s="172" t="n">
        <v>1415342</v>
      </c>
      <c r="G32" s="172" t="n">
        <v>7</v>
      </c>
      <c r="H32" s="172" t="n">
        <v>5</v>
      </c>
      <c r="I32" s="173" t="n">
        <v>3.562596</v>
      </c>
      <c r="J32" t="n">
        <v>0</v>
      </c>
      <c r="K32" s="173" t="n">
        <v>0</v>
      </c>
      <c r="L32" t="n">
        <v>2.25359</v>
      </c>
      <c r="M32" s="173" t="n">
        <v>1.592258</v>
      </c>
      <c r="N32" t="n">
        <v>5.208493</v>
      </c>
      <c r="O32" s="173" t="n">
        <v>3.680025</v>
      </c>
      <c r="P32" t="n">
        <v>7</v>
      </c>
      <c r="Q32" s="173" t="n">
        <v>4.945801</v>
      </c>
      <c r="R32" t="n">
        <v>5</v>
      </c>
      <c r="S32" s="173" t="n">
        <v>3.532715</v>
      </c>
      <c r="T32" s="173" t="n">
        <v>4.891201</v>
      </c>
      <c r="U32" s="173" t="n">
        <v>3.455844</v>
      </c>
      <c r="V32" s="173" t="n">
        <v>4.302123</v>
      </c>
      <c r="W32" s="173" t="n">
        <v>3.039635</v>
      </c>
    </row>
    <row r="33">
      <c r="A33" t="inlineStr">
        <is>
          <t>NJ</t>
        </is>
      </c>
      <c r="B33" t="inlineStr">
        <is>
          <t>New Jersey</t>
        </is>
      </c>
      <c r="C33" t="inlineStr">
        <is>
          <t>Northeast</t>
        </is>
      </c>
      <c r="D33" t="inlineStr">
        <is>
          <t>Middle Atlantic</t>
        </is>
      </c>
      <c r="E33" s="172" t="n">
        <v>2025</v>
      </c>
      <c r="F33" s="172" t="n">
        <v>9548215</v>
      </c>
      <c r="G33" s="172" t="n">
        <v>7</v>
      </c>
      <c r="H33" s="172" t="n">
        <v>8.666667</v>
      </c>
      <c r="I33" s="173" t="n">
        <v>0.922503</v>
      </c>
      <c r="J33" t="n">
        <v>6.566398</v>
      </c>
      <c r="K33" s="173" t="n">
        <v>0.687709</v>
      </c>
      <c r="L33" t="n">
        <v>7.304749</v>
      </c>
      <c r="M33" s="173" t="n">
        <v>0.765038</v>
      </c>
      <c r="N33" t="n">
        <v>11.20884</v>
      </c>
      <c r="O33" s="173" t="n">
        <v>1.17392</v>
      </c>
      <c r="P33" t="n">
        <v>7</v>
      </c>
      <c r="Q33" s="173" t="n">
        <v>0.733121</v>
      </c>
      <c r="R33" t="n">
        <v>8.666667</v>
      </c>
      <c r="S33" s="173" t="n">
        <v>0.907674</v>
      </c>
      <c r="T33" s="173" t="n">
        <v>32.997139</v>
      </c>
      <c r="U33" s="173" t="n">
        <v>3.455844</v>
      </c>
      <c r="V33" s="173" t="n">
        <v>8.360476</v>
      </c>
      <c r="W33" s="173" t="n">
        <v>0.875606</v>
      </c>
    </row>
    <row r="34">
      <c r="A34" t="inlineStr">
        <is>
          <t>NM</t>
        </is>
      </c>
      <c r="B34" t="inlineStr">
        <is>
          <t>New Mexico</t>
        </is>
      </c>
      <c r="C34" t="inlineStr">
        <is>
          <t>West</t>
        </is>
      </c>
      <c r="D34" t="inlineStr">
        <is>
          <t>Mountain</t>
        </is>
      </c>
      <c r="E34" s="172" t="n">
        <v>2025</v>
      </c>
      <c r="F34" s="172" t="n">
        <v>2125498</v>
      </c>
      <c r="G34" s="172" t="n">
        <v>25</v>
      </c>
      <c r="H34" s="172" t="n">
        <v>25.666667</v>
      </c>
      <c r="I34" s="173" t="n">
        <v>12.111403</v>
      </c>
      <c r="J34" t="n">
        <v>22.849664</v>
      </c>
      <c r="K34" s="173" t="n">
        <v>10.750264</v>
      </c>
      <c r="L34" t="n">
        <v>23.214268</v>
      </c>
      <c r="M34" s="173" t="n">
        <v>10.921802</v>
      </c>
      <c r="N34" t="n">
        <v>26.625165</v>
      </c>
      <c r="O34" s="173" t="n">
        <v>12.526554</v>
      </c>
      <c r="P34" t="n">
        <v>25</v>
      </c>
      <c r="Q34" s="173" t="n">
        <v>11.761949</v>
      </c>
      <c r="R34" t="n">
        <v>25.666667</v>
      </c>
      <c r="S34" s="173" t="n">
        <v>12.075601</v>
      </c>
      <c r="T34" s="173" t="n">
        <v>7.345389</v>
      </c>
      <c r="U34" s="173" t="n">
        <v>3.455844</v>
      </c>
      <c r="V34" s="173" t="n">
        <v>25.035374</v>
      </c>
      <c r="W34" s="173" t="n">
        <v>11.778592</v>
      </c>
    </row>
    <row r="35">
      <c r="A35" t="inlineStr">
        <is>
          <t>NV</t>
        </is>
      </c>
      <c r="B35" t="inlineStr">
        <is>
          <t>Nevada</t>
        </is>
      </c>
      <c r="C35" t="inlineStr">
        <is>
          <t>West</t>
        </is>
      </c>
      <c r="D35" t="inlineStr">
        <is>
          <t>Mountain</t>
        </is>
      </c>
      <c r="E35" s="172" t="n">
        <v>2025</v>
      </c>
      <c r="F35" s="172" t="n">
        <v>3282188</v>
      </c>
      <c r="G35" s="172" t="n">
        <v>18</v>
      </c>
      <c r="H35" s="172" t="n">
        <v>17.333333</v>
      </c>
      <c r="I35" s="173" t="n">
        <v>5.389962</v>
      </c>
      <c r="J35" t="n">
        <v>18.990644</v>
      </c>
      <c r="K35" s="173" t="n">
        <v>5.785971</v>
      </c>
      <c r="L35" t="n">
        <v>21.033709</v>
      </c>
      <c r="M35" s="173" t="n">
        <v>6.408441</v>
      </c>
      <c r="N35" t="n">
        <v>18.230659</v>
      </c>
      <c r="O35" s="173" t="n">
        <v>5.554422</v>
      </c>
      <c r="P35" t="n">
        <v>18</v>
      </c>
      <c r="Q35" s="173" t="n">
        <v>5.484147</v>
      </c>
      <c r="R35" t="n">
        <v>17.333333</v>
      </c>
      <c r="S35" s="173" t="n">
        <v>5.28103</v>
      </c>
      <c r="T35" s="173" t="n">
        <v>11.342729</v>
      </c>
      <c r="U35" s="173" t="n">
        <v>3.455844</v>
      </c>
      <c r="V35" s="173" t="n">
        <v>18.138659</v>
      </c>
      <c r="W35" s="173" t="n">
        <v>5.526392</v>
      </c>
    </row>
    <row r="36">
      <c r="A36" t="inlineStr">
        <is>
          <t>NY</t>
        </is>
      </c>
      <c r="B36" t="inlineStr">
        <is>
          <t>New York</t>
        </is>
      </c>
      <c r="C36" t="inlineStr">
        <is>
          <t>Northeast</t>
        </is>
      </c>
      <c r="D36" t="inlineStr">
        <is>
          <t>Middle Atlantic</t>
        </is>
      </c>
      <c r="E36" s="172" t="n">
        <v>2025</v>
      </c>
      <c r="F36" s="172" t="n">
        <v>20002427</v>
      </c>
      <c r="G36" s="172" t="n">
        <v>27</v>
      </c>
      <c r="H36" s="172" t="n">
        <v>23.333333</v>
      </c>
      <c r="I36" s="173" t="n">
        <v>1.175686</v>
      </c>
      <c r="J36" t="n">
        <v>26.315936</v>
      </c>
      <c r="K36" s="173" t="n">
        <v>1.315637</v>
      </c>
      <c r="L36" t="n">
        <v>17.574955</v>
      </c>
      <c r="M36" s="173" t="n">
        <v>0.878641</v>
      </c>
      <c r="N36" t="n">
        <v>29.885309</v>
      </c>
      <c r="O36" s="173" t="n">
        <v>1.494084</v>
      </c>
      <c r="P36" t="n">
        <v>27</v>
      </c>
      <c r="Q36" s="173" t="n">
        <v>1.349836</v>
      </c>
      <c r="R36" t="n">
        <v>23.333333</v>
      </c>
      <c r="S36" s="173" t="n">
        <v>1.166525</v>
      </c>
      <c r="T36" s="173" t="n">
        <v>69.125263</v>
      </c>
      <c r="U36" s="173" t="n">
        <v>3.455844</v>
      </c>
      <c r="V36" s="173" t="n">
        <v>26.633645</v>
      </c>
      <c r="W36" s="173" t="n">
        <v>1.331521</v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Midwest</t>
        </is>
      </c>
      <c r="D37" t="inlineStr">
        <is>
          <t>East North Central</t>
        </is>
      </c>
      <c r="E37" s="172" t="n">
        <v>2025</v>
      </c>
      <c r="F37" s="172" t="n">
        <v>11900510</v>
      </c>
      <c r="G37" s="172" t="n">
        <v>45</v>
      </c>
      <c r="H37" s="172" t="n">
        <v>37.333333</v>
      </c>
      <c r="I37" s="173" t="n">
        <v>3.159961</v>
      </c>
      <c r="J37" t="n">
        <v>35.702633</v>
      </c>
      <c r="K37" s="173" t="n">
        <v>3.000093</v>
      </c>
      <c r="L37" t="n">
        <v>22.421666</v>
      </c>
      <c r="M37" s="173" t="n">
        <v>1.884093</v>
      </c>
      <c r="N37" t="n">
        <v>36.685501</v>
      </c>
      <c r="O37" s="173" t="n">
        <v>3.082683</v>
      </c>
      <c r="P37" t="n">
        <v>45</v>
      </c>
      <c r="Q37" s="173" t="n">
        <v>3.781351</v>
      </c>
      <c r="R37" t="n">
        <v>37.333333</v>
      </c>
      <c r="S37" s="173" t="n">
        <v>3.13712</v>
      </c>
      <c r="T37" s="173" t="n">
        <v>41.126303</v>
      </c>
      <c r="U37" s="173" t="n">
        <v>3.455844</v>
      </c>
      <c r="V37" s="173" t="n">
        <v>38.680367</v>
      </c>
      <c r="W37" s="173" t="n">
        <v>3.250312</v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South</t>
        </is>
      </c>
      <c r="D38" t="inlineStr">
        <is>
          <t>West South Central</t>
        </is>
      </c>
      <c r="E38" s="172" t="n">
        <v>2025</v>
      </c>
      <c r="F38" s="172" t="n">
        <v>4123288</v>
      </c>
      <c r="G38" s="172" t="n">
        <v>17</v>
      </c>
      <c r="H38" s="172" t="n">
        <v>23</v>
      </c>
      <c r="I38" s="173" t="n">
        <v>5.670648</v>
      </c>
      <c r="J38" t="n">
        <v>28.161854</v>
      </c>
      <c r="K38" s="173" t="n">
        <v>6.829951</v>
      </c>
      <c r="L38" t="n">
        <v>18.984832</v>
      </c>
      <c r="M38" s="173" t="n">
        <v>4.604294</v>
      </c>
      <c r="N38" t="n">
        <v>25.30552</v>
      </c>
      <c r="O38" s="173" t="n">
        <v>6.137219</v>
      </c>
      <c r="P38" t="n">
        <v>17</v>
      </c>
      <c r="Q38" s="173" t="n">
        <v>4.122923</v>
      </c>
      <c r="R38" t="n">
        <v>23</v>
      </c>
      <c r="S38" s="173" t="n">
        <v>5.578073</v>
      </c>
      <c r="T38" s="173" t="n">
        <v>14.249439</v>
      </c>
      <c r="U38" s="173" t="n">
        <v>3.455844</v>
      </c>
      <c r="V38" s="173" t="n">
        <v>23.366843</v>
      </c>
      <c r="W38" s="173" t="n">
        <v>5.667041</v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West</t>
        </is>
      </c>
      <c r="D39" t="inlineStr">
        <is>
          <t>Pacific</t>
        </is>
      </c>
      <c r="E39" s="172" t="n">
        <v>2025</v>
      </c>
      <c r="F39" s="172" t="n">
        <v>4273586</v>
      </c>
      <c r="G39" s="172" t="n">
        <v>16</v>
      </c>
      <c r="H39" s="172" t="n">
        <v>19</v>
      </c>
      <c r="I39" s="173" t="n">
        <v>4.467664</v>
      </c>
      <c r="J39" t="n">
        <v>22.100145</v>
      </c>
      <c r="K39" s="173" t="n">
        <v>5.171335</v>
      </c>
      <c r="L39" t="n">
        <v>13.370842</v>
      </c>
      <c r="M39" s="173" t="n">
        <v>3.128717</v>
      </c>
      <c r="N39" t="n">
        <v>18.534788</v>
      </c>
      <c r="O39" s="173" t="n">
        <v>4.337057</v>
      </c>
      <c r="P39" t="n">
        <v>16</v>
      </c>
      <c r="Q39" s="173" t="n">
        <v>3.743928</v>
      </c>
      <c r="R39" t="n">
        <v>19</v>
      </c>
      <c r="S39" s="173" t="n">
        <v>4.445915</v>
      </c>
      <c r="T39" s="173" t="n">
        <v>14.768846</v>
      </c>
      <c r="U39" s="173" t="n">
        <v>3.455844</v>
      </c>
      <c r="V39" s="173" t="n">
        <v>18.908733</v>
      </c>
      <c r="W39" s="173" t="n">
        <v>4.424559</v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Northeast</t>
        </is>
      </c>
      <c r="D40" t="inlineStr">
        <is>
          <t>Middle Atlantic</t>
        </is>
      </c>
      <c r="E40" s="172" t="n">
        <v>2025</v>
      </c>
      <c r="F40" s="172" t="n">
        <v>13059432</v>
      </c>
      <c r="G40" s="172" t="n">
        <v>32</v>
      </c>
      <c r="H40" s="172" t="n">
        <v>28</v>
      </c>
      <c r="I40" s="173" t="n">
        <v>2.151122</v>
      </c>
      <c r="J40" t="n">
        <v>27.877953</v>
      </c>
      <c r="K40" s="173" t="n">
        <v>2.134699</v>
      </c>
      <c r="L40" t="n">
        <v>17.502839</v>
      </c>
      <c r="M40" s="173" t="n">
        <v>1.340245</v>
      </c>
      <c r="N40" t="n">
        <v>26.129385</v>
      </c>
      <c r="O40" s="173" t="n">
        <v>2.000806</v>
      </c>
      <c r="P40" t="n">
        <v>32</v>
      </c>
      <c r="Q40" s="173" t="n">
        <v>2.450336</v>
      </c>
      <c r="R40" t="n">
        <v>28</v>
      </c>
      <c r="S40" s="173" t="n">
        <v>2.144044</v>
      </c>
      <c r="T40" s="173" t="n">
        <v>45.131357</v>
      </c>
      <c r="U40" s="173" t="n">
        <v>3.455844</v>
      </c>
      <c r="V40" s="173" t="n">
        <v>28.501834</v>
      </c>
      <c r="W40" s="173" t="n">
        <v>2.182471</v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Northeast</t>
        </is>
      </c>
      <c r="D41" t="inlineStr">
        <is>
          <t>New England</t>
        </is>
      </c>
      <c r="E41" s="172" t="n">
        <v>2025</v>
      </c>
      <c r="F41" s="172" t="n">
        <v>1114521</v>
      </c>
      <c r="G41" s="172" t="n">
        <v>0</v>
      </c>
      <c r="H41" s="172" t="n">
        <v>1</v>
      </c>
      <c r="I41" s="173" t="n">
        <v>0.9089159999999999</v>
      </c>
      <c r="J41" t="n">
        <v>0</v>
      </c>
      <c r="K41" s="173" t="n">
        <v>0</v>
      </c>
      <c r="L41" t="n">
        <v>1.03278</v>
      </c>
      <c r="M41" s="173" t="n">
        <v>0.926658</v>
      </c>
      <c r="N41" t="n">
        <v>2.794861</v>
      </c>
      <c r="O41" s="173" t="n">
        <v>2.507679</v>
      </c>
      <c r="P41" t="n">
        <v>0</v>
      </c>
      <c r="Q41" s="173" t="n">
        <v>0</v>
      </c>
      <c r="R41" t="n">
        <v>1</v>
      </c>
      <c r="S41" s="173" t="n">
        <v>0.897246</v>
      </c>
      <c r="T41" s="173" t="n">
        <v>3.85161</v>
      </c>
      <c r="U41" s="173" t="n">
        <v>3.455844</v>
      </c>
      <c r="V41" s="173" t="n">
        <v>0.948715</v>
      </c>
      <c r="W41" s="173" t="n">
        <v>0.851231</v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South</t>
        </is>
      </c>
      <c r="D42" t="inlineStr">
        <is>
          <t>South Atlantic</t>
        </is>
      </c>
      <c r="E42" s="172" t="n">
        <v>2025</v>
      </c>
      <c r="F42" s="172" t="n">
        <v>5570274</v>
      </c>
      <c r="G42" s="172" t="n">
        <v>21</v>
      </c>
      <c r="H42" s="172" t="n">
        <v>21</v>
      </c>
      <c r="I42" s="173" t="n">
        <v>3.896994</v>
      </c>
      <c r="J42" t="n">
        <v>19.924935</v>
      </c>
      <c r="K42" s="173" t="n">
        <v>3.577012</v>
      </c>
      <c r="L42" t="n">
        <v>16.765942</v>
      </c>
      <c r="M42" s="173" t="n">
        <v>3.009895</v>
      </c>
      <c r="N42" t="n">
        <v>21.128859</v>
      </c>
      <c r="O42" s="173" t="n">
        <v>3.793145</v>
      </c>
      <c r="P42" t="n">
        <v>21</v>
      </c>
      <c r="Q42" s="173" t="n">
        <v>3.770012</v>
      </c>
      <c r="R42" t="n">
        <v>21</v>
      </c>
      <c r="S42" s="173" t="n">
        <v>3.770012</v>
      </c>
      <c r="T42" s="173" t="n">
        <v>19.249997</v>
      </c>
      <c r="U42" s="173" t="n">
        <v>3.455844</v>
      </c>
      <c r="V42" s="173" t="n">
        <v>20.763448</v>
      </c>
      <c r="W42" s="173" t="n">
        <v>3.727545</v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Midwest</t>
        </is>
      </c>
      <c r="D43" t="inlineStr">
        <is>
          <t>West North Central</t>
        </is>
      </c>
      <c r="E43" s="172" t="n">
        <v>2025</v>
      </c>
      <c r="F43" s="172" t="n">
        <v>935094</v>
      </c>
      <c r="G43" s="172" t="n">
        <v>4</v>
      </c>
      <c r="H43" s="172" t="n">
        <v>4.666667</v>
      </c>
      <c r="I43" s="173" t="n">
        <v>5.094278</v>
      </c>
      <c r="J43" t="n">
        <v>2.926151</v>
      </c>
      <c r="K43" s="173" t="n">
        <v>3.129259</v>
      </c>
      <c r="L43" t="n">
        <v>4.447536</v>
      </c>
      <c r="M43" s="173" t="n">
        <v>4.756245</v>
      </c>
      <c r="N43" t="n">
        <v>5.183283</v>
      </c>
      <c r="O43" s="173" t="n">
        <v>5.543061</v>
      </c>
      <c r="P43" t="n">
        <v>4</v>
      </c>
      <c r="Q43" s="173" t="n">
        <v>4.277645</v>
      </c>
      <c r="R43" t="n">
        <v>4.666667</v>
      </c>
      <c r="S43" s="173" t="n">
        <v>4.990586</v>
      </c>
      <c r="T43" s="173" t="n">
        <v>3.231539</v>
      </c>
      <c r="U43" s="173" t="n">
        <v>3.455844</v>
      </c>
      <c r="V43" s="173" t="n">
        <v>4.194025</v>
      </c>
      <c r="W43" s="173" t="n">
        <v>4.485137</v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South</t>
        </is>
      </c>
      <c r="D44" t="inlineStr">
        <is>
          <t>East South Central</t>
        </is>
      </c>
      <c r="E44" s="172" t="n">
        <v>2025</v>
      </c>
      <c r="F44" s="172" t="n">
        <v>7315076</v>
      </c>
      <c r="G44" s="172" t="n">
        <v>36</v>
      </c>
      <c r="H44" s="172" t="n">
        <v>34.333333</v>
      </c>
      <c r="I44" s="173" t="n">
        <v>4.794853</v>
      </c>
      <c r="J44" t="n">
        <v>34.957521</v>
      </c>
      <c r="K44" s="173" t="n">
        <v>4.778832</v>
      </c>
      <c r="L44" t="n">
        <v>26.336053</v>
      </c>
      <c r="M44" s="173" t="n">
        <v>3.600243</v>
      </c>
      <c r="N44" t="n">
        <v>34.365031</v>
      </c>
      <c r="O44" s="173" t="n">
        <v>4.697836</v>
      </c>
      <c r="P44" t="n">
        <v>36</v>
      </c>
      <c r="Q44" s="173" t="n">
        <v>4.921343</v>
      </c>
      <c r="R44" t="n">
        <v>34.333333</v>
      </c>
      <c r="S44" s="173" t="n">
        <v>4.693503</v>
      </c>
      <c r="T44" s="173" t="n">
        <v>25.27976</v>
      </c>
      <c r="U44" s="173" t="n">
        <v>3.455844</v>
      </c>
      <c r="V44" s="173" t="n">
        <v>34.913971</v>
      </c>
      <c r="W44" s="173" t="n">
        <v>4.772879</v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South</t>
        </is>
      </c>
      <c r="D45" t="inlineStr">
        <is>
          <t>West South Central</t>
        </is>
      </c>
      <c r="E45" s="172" t="n">
        <v>2025</v>
      </c>
      <c r="F45" s="172" t="n">
        <v>31709821</v>
      </c>
      <c r="G45" s="172" t="n">
        <v>144</v>
      </c>
      <c r="H45" s="172" t="n">
        <v>129.666667</v>
      </c>
      <c r="I45" s="173" t="n">
        <v>4.216683</v>
      </c>
      <c r="J45" t="n">
        <v>125.560566</v>
      </c>
      <c r="K45" s="173" t="n">
        <v>3.959674</v>
      </c>
      <c r="L45" t="n">
        <v>153.823465</v>
      </c>
      <c r="M45" s="173" t="n">
        <v>4.850972</v>
      </c>
      <c r="N45" t="n">
        <v>105.615576</v>
      </c>
      <c r="O45" s="173" t="n">
        <v>3.33069</v>
      </c>
      <c r="P45" t="n">
        <v>144</v>
      </c>
      <c r="Q45" s="173" t="n">
        <v>4.54118</v>
      </c>
      <c r="R45" t="n">
        <v>129.666667</v>
      </c>
      <c r="S45" s="173" t="n">
        <v>4.089164</v>
      </c>
      <c r="T45" s="173" t="n">
        <v>109.584187</v>
      </c>
      <c r="U45" s="173" t="n">
        <v>3.455844</v>
      </c>
      <c r="V45" s="173" t="n">
        <v>126.210702</v>
      </c>
      <c r="W45" s="173" t="n">
        <v>3.980177</v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West</t>
        </is>
      </c>
      <c r="D46" t="inlineStr">
        <is>
          <t>Mountain</t>
        </is>
      </c>
      <c r="E46" s="172" t="n">
        <v>2025</v>
      </c>
      <c r="F46" s="172" t="n">
        <v>3538904</v>
      </c>
      <c r="G46" s="172" t="n">
        <v>18</v>
      </c>
      <c r="H46" s="172" t="n">
        <v>16.333333</v>
      </c>
      <c r="I46" s="173" t="n">
        <v>4.725969</v>
      </c>
      <c r="J46" t="n">
        <v>17.507138</v>
      </c>
      <c r="K46" s="173" t="n">
        <v>4.947051</v>
      </c>
      <c r="L46" t="n">
        <v>12.384733</v>
      </c>
      <c r="M46" s="173" t="n">
        <v>3.499596</v>
      </c>
      <c r="N46" t="n">
        <v>15.080809</v>
      </c>
      <c r="O46" s="173" t="n">
        <v>4.261435</v>
      </c>
      <c r="P46" t="n">
        <v>18</v>
      </c>
      <c r="Q46" s="173" t="n">
        <v>5.086321</v>
      </c>
      <c r="R46" t="n">
        <v>16.333333</v>
      </c>
      <c r="S46" s="173" t="n">
        <v>4.615365</v>
      </c>
      <c r="T46" s="173" t="n">
        <v>12.229899</v>
      </c>
      <c r="U46" s="173" t="n">
        <v>3.455844</v>
      </c>
      <c r="V46" s="173" t="n">
        <v>16.73032</v>
      </c>
      <c r="W46" s="173" t="n">
        <v>4.727543</v>
      </c>
    </row>
    <row r="47">
      <c r="A47" t="inlineStr">
        <is>
          <t>VA</t>
        </is>
      </c>
      <c r="B47" t="inlineStr">
        <is>
          <t>Virginia</t>
        </is>
      </c>
      <c r="C47" t="inlineStr">
        <is>
          <t>South</t>
        </is>
      </c>
      <c r="D47" t="inlineStr">
        <is>
          <t>South Atlantic</t>
        </is>
      </c>
      <c r="E47" s="172" t="n">
        <v>2025</v>
      </c>
      <c r="F47" s="172" t="n">
        <v>8880107</v>
      </c>
      <c r="G47" s="172" t="n">
        <v>31</v>
      </c>
      <c r="H47" s="172" t="n">
        <v>26</v>
      </c>
      <c r="I47" s="173" t="n">
        <v>2.971169</v>
      </c>
      <c r="J47" t="n">
        <v>26.325192</v>
      </c>
      <c r="K47" s="173" t="n">
        <v>2.964513</v>
      </c>
      <c r="L47" t="n">
        <v>18.063005</v>
      </c>
      <c r="M47" s="173" t="n">
        <v>2.034098</v>
      </c>
      <c r="N47" t="n">
        <v>29.549126</v>
      </c>
      <c r="O47" s="173" t="n">
        <v>3.327564</v>
      </c>
      <c r="P47" t="n">
        <v>31</v>
      </c>
      <c r="Q47" s="173" t="n">
        <v>3.490949</v>
      </c>
      <c r="R47" t="n">
        <v>26</v>
      </c>
      <c r="S47" s="173" t="n">
        <v>2.927893</v>
      </c>
      <c r="T47" s="173" t="n">
        <v>30.688262</v>
      </c>
      <c r="U47" s="173" t="n">
        <v>3.455844</v>
      </c>
      <c r="V47" s="173" t="n">
        <v>28.218579</v>
      </c>
      <c r="W47" s="173" t="n">
        <v>3.17773</v>
      </c>
    </row>
    <row r="48">
      <c r="A48" t="inlineStr">
        <is>
          <t>VT</t>
        </is>
      </c>
      <c r="B48" t="inlineStr">
        <is>
          <t>Vermont</t>
        </is>
      </c>
      <c r="C48" t="inlineStr">
        <is>
          <t>Northeast</t>
        </is>
      </c>
      <c r="D48" t="inlineStr">
        <is>
          <t>New England</t>
        </is>
      </c>
      <c r="E48" s="172" t="n">
        <v>2025</v>
      </c>
      <c r="F48" s="172" t="n">
        <v>644663</v>
      </c>
      <c r="G48" s="172" t="n">
        <v>1</v>
      </c>
      <c r="H48" s="172" t="n">
        <v>1.333333</v>
      </c>
      <c r="I48" s="173" t="n">
        <v>2.059624</v>
      </c>
      <c r="J48" t="n">
        <v>0</v>
      </c>
      <c r="K48" s="173" t="n">
        <v>0</v>
      </c>
      <c r="L48" t="n">
        <v>1.297256</v>
      </c>
      <c r="M48" s="173" t="n">
        <v>2.012301</v>
      </c>
      <c r="N48" t="n">
        <v>3.478759</v>
      </c>
      <c r="O48" s="173" t="n">
        <v>5.396245</v>
      </c>
      <c r="P48" t="n">
        <v>1</v>
      </c>
      <c r="Q48" s="173" t="n">
        <v>1.551198</v>
      </c>
      <c r="R48" t="n">
        <v>1.333333</v>
      </c>
      <c r="S48" s="173" t="n">
        <v>2.068264</v>
      </c>
      <c r="T48" s="173" t="n">
        <v>2.227855</v>
      </c>
      <c r="U48" s="173" t="n">
        <v>3.455844</v>
      </c>
      <c r="V48" s="173" t="n">
        <v>1.453023</v>
      </c>
      <c r="W48" s="173" t="n">
        <v>2.253927</v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West</t>
        </is>
      </c>
      <c r="D49" t="inlineStr">
        <is>
          <t>Pacific</t>
        </is>
      </c>
      <c r="E49" s="172" t="n">
        <v>2025</v>
      </c>
      <c r="F49" s="172" t="n">
        <v>8001020</v>
      </c>
      <c r="G49" s="172" t="n">
        <v>32</v>
      </c>
      <c r="H49" s="172" t="n">
        <v>31</v>
      </c>
      <c r="I49" s="173" t="n">
        <v>3.95047</v>
      </c>
      <c r="J49" t="n">
        <v>29.558035</v>
      </c>
      <c r="K49" s="173" t="n">
        <v>3.694283</v>
      </c>
      <c r="L49" t="n">
        <v>16.771245</v>
      </c>
      <c r="M49" s="173" t="n">
        <v>2.096138</v>
      </c>
      <c r="N49" t="n">
        <v>34.107907</v>
      </c>
      <c r="O49" s="173" t="n">
        <v>4.262945</v>
      </c>
      <c r="P49" t="n">
        <v>32</v>
      </c>
      <c r="Q49" s="173" t="n">
        <v>3.99949</v>
      </c>
      <c r="R49" t="n">
        <v>31</v>
      </c>
      <c r="S49" s="173" t="n">
        <v>3.874506</v>
      </c>
      <c r="T49" s="173" t="n">
        <v>27.650275</v>
      </c>
      <c r="U49" s="173" t="n">
        <v>3.455844</v>
      </c>
      <c r="V49" s="173" t="n">
        <v>31.666486</v>
      </c>
      <c r="W49" s="173" t="n">
        <v>3.957806</v>
      </c>
    </row>
    <row r="50">
      <c r="A50" t="inlineStr">
        <is>
          <t>WI</t>
        </is>
      </c>
      <c r="B50" t="inlineStr">
        <is>
          <t>Wisconsin</t>
        </is>
      </c>
      <c r="C50" t="inlineStr">
        <is>
          <t>Midwest</t>
        </is>
      </c>
      <c r="D50" t="inlineStr">
        <is>
          <t>East North Central</t>
        </is>
      </c>
      <c r="E50" s="172" t="n">
        <v>2025</v>
      </c>
      <c r="F50" s="172" t="n">
        <v>5972787</v>
      </c>
      <c r="G50" s="172" t="n">
        <v>19</v>
      </c>
      <c r="H50" s="172" t="n">
        <v>17</v>
      </c>
      <c r="I50" s="173" t="n">
        <v>2.864873</v>
      </c>
      <c r="J50" t="n">
        <v>15.771393</v>
      </c>
      <c r="K50" s="173" t="n">
        <v>2.640542</v>
      </c>
      <c r="L50" t="n">
        <v>10.375903</v>
      </c>
      <c r="M50" s="173" t="n">
        <v>1.737196</v>
      </c>
      <c r="N50" t="n">
        <v>18.612361</v>
      </c>
      <c r="O50" s="173" t="n">
        <v>3.116194</v>
      </c>
      <c r="P50" t="n">
        <v>19</v>
      </c>
      <c r="Q50" s="173" t="n">
        <v>3.181095</v>
      </c>
      <c r="R50" t="n">
        <v>17</v>
      </c>
      <c r="S50" s="173" t="n">
        <v>2.846242</v>
      </c>
      <c r="T50" s="173" t="n">
        <v>20.641019</v>
      </c>
      <c r="U50" s="173" t="n">
        <v>3.455844</v>
      </c>
      <c r="V50" s="173" t="n">
        <v>17.595938</v>
      </c>
      <c r="W50" s="173" t="n">
        <v>2.946018</v>
      </c>
    </row>
    <row r="51">
      <c r="A51" t="inlineStr">
        <is>
          <t>WV</t>
        </is>
      </c>
      <c r="B51" t="inlineStr">
        <is>
          <t>West Virginia</t>
        </is>
      </c>
      <c r="C51" t="inlineStr">
        <is>
          <t>South</t>
        </is>
      </c>
      <c r="D51" t="inlineStr">
        <is>
          <t>South Atlantic</t>
        </is>
      </c>
      <c r="E51" s="172" t="n">
        <v>2025</v>
      </c>
      <c r="F51" s="172" t="n">
        <v>1766147</v>
      </c>
      <c r="G51" s="172" t="n">
        <v>9</v>
      </c>
      <c r="H51" s="172" t="n">
        <v>11.666667</v>
      </c>
      <c r="I51" s="173" t="n">
        <v>6.588676</v>
      </c>
      <c r="J51" t="n">
        <v>9.908166</v>
      </c>
      <c r="K51" s="173" t="n">
        <v>5.610046</v>
      </c>
      <c r="L51" t="n">
        <v>14.281714</v>
      </c>
      <c r="M51" s="173" t="n">
        <v>8.086368</v>
      </c>
      <c r="N51" t="n">
        <v>12.039477</v>
      </c>
      <c r="O51" s="173" t="n">
        <v>6.816803</v>
      </c>
      <c r="P51" t="n">
        <v>9</v>
      </c>
      <c r="Q51" s="173" t="n">
        <v>5.095839</v>
      </c>
      <c r="R51" t="n">
        <v>11.666667</v>
      </c>
      <c r="S51" s="173" t="n">
        <v>6.605717</v>
      </c>
      <c r="T51" s="173" t="n">
        <v>6.103528</v>
      </c>
      <c r="U51" s="173" t="n">
        <v>3.455844</v>
      </c>
      <c r="V51" s="173" t="n">
        <v>10.653577</v>
      </c>
      <c r="W51" s="173" t="n">
        <v>6.032101</v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West</t>
        </is>
      </c>
      <c r="D52" t="inlineStr">
        <is>
          <t>Mountain</t>
        </is>
      </c>
      <c r="E52" s="172" t="n">
        <v>2025</v>
      </c>
      <c r="F52" s="172" t="n">
        <v>588753</v>
      </c>
      <c r="G52" s="172" t="n">
        <v>7</v>
      </c>
      <c r="H52" s="172" t="n">
        <v>6</v>
      </c>
      <c r="I52" s="173" t="n">
        <v>10.276941</v>
      </c>
      <c r="J52" t="n">
        <v>7.881819</v>
      </c>
      <c r="K52" s="173" t="n">
        <v>13.38731</v>
      </c>
      <c r="L52" t="n">
        <v>5.787137</v>
      </c>
      <c r="M52" s="173" t="n">
        <v>9.829482</v>
      </c>
      <c r="N52" t="n">
        <v>7.500333</v>
      </c>
      <c r="O52" s="173" t="n">
        <v>12.739354</v>
      </c>
      <c r="P52" t="n">
        <v>7</v>
      </c>
      <c r="Q52" s="173" t="n">
        <v>11.889536</v>
      </c>
      <c r="R52" t="n">
        <v>6</v>
      </c>
      <c r="S52" s="173" t="n">
        <v>10.191031</v>
      </c>
      <c r="T52" s="173" t="n">
        <v>2.034638</v>
      </c>
      <c r="U52" s="173" t="n">
        <v>3.455844</v>
      </c>
      <c r="V52" s="173" t="n">
        <v>7.095538</v>
      </c>
      <c r="W52" s="173" t="n">
        <v>12.051808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18" customWidth="1" style="16" min="12" max="12"/>
    <col width="38" customWidth="1" style="16" min="13" max="13"/>
    <col width="38" customWidth="1" style="16" min="14" max="14"/>
    <col width="16" customWidth="1" style="16" min="15" max="15"/>
    <col width="16" customWidth="1" style="16" min="16" max="16"/>
  </cols>
  <sheetData>
    <row r="1">
      <c r="A1" s="6" t="inlineStr">
        <is>
          <t>test_id</t>
        </is>
      </c>
      <c r="B1" s="6" t="inlineStr">
        <is>
          <t>family</t>
        </is>
      </c>
      <c r="C1" s="6" t="inlineStr">
        <is>
          <t>question</t>
        </is>
      </c>
      <c r="D1" s="6" t="inlineStr">
        <is>
          <t>method</t>
        </is>
      </c>
      <c r="E1" s="6" t="inlineStr">
        <is>
          <t>n</t>
        </is>
      </c>
      <c r="F1" s="6" t="inlineStr">
        <is>
          <t>df</t>
        </is>
      </c>
      <c r="G1" s="6" t="inlineStr">
        <is>
          <t>statistic</t>
        </is>
      </c>
      <c r="H1" s="6" t="inlineStr">
        <is>
          <t>p_value</t>
        </is>
      </c>
      <c r="I1" s="6" t="inlineStr">
        <is>
          <t>p_value_bh_fdr</t>
        </is>
      </c>
      <c r="J1" s="6" t="inlineStr">
        <is>
          <t>effect_label</t>
        </is>
      </c>
      <c r="K1" s="6" t="inlineStr">
        <is>
          <t>effect</t>
        </is>
      </c>
      <c r="L1" s="6" t="inlineStr">
        <is>
          <t>direction</t>
        </is>
      </c>
      <c r="M1" s="6" t="inlineStr">
        <is>
          <t>conclusion</t>
        </is>
      </c>
      <c r="N1" s="6" t="inlineStr">
        <is>
          <t>caution</t>
        </is>
      </c>
      <c r="O1" s="6" t="inlineStr">
        <is>
          <t>significant_0_05_raw</t>
        </is>
      </c>
      <c r="P1" s="6" t="inlineStr">
        <is>
          <t>significant_0_05_bh_fdr</t>
        </is>
      </c>
    </row>
    <row r="2">
      <c r="A2" t="inlineStr">
        <is>
          <t>T01</t>
        </is>
      </c>
      <c r="B2" t="inlineStr">
        <is>
          <t>Trend/per-capita</t>
        </is>
      </c>
      <c r="C2" t="inlineStr">
        <is>
          <t>Has the national fatal police shooting rate changed from 2015-2024?</t>
        </is>
      </c>
      <c r="D2" t="inlineStr">
        <is>
          <t>OLS: national fatal_shootings_per_1m ~ year_index</t>
        </is>
      </c>
      <c r="E2" s="172" t="n">
        <v>10</v>
      </c>
      <c r="F2" s="172" t="n">
        <v>8</v>
      </c>
      <c r="G2" s="173" t="n">
        <v>4.585548766351038</v>
      </c>
      <c r="H2" s="173" t="n">
        <v>0.001788959656182975</v>
      </c>
      <c r="I2" s="173" t="n">
        <v>0.003756815277984247</v>
      </c>
      <c r="J2" s="173" t="inlineStr">
        <is>
          <t>slope_per_1m_per_year</t>
        </is>
      </c>
      <c r="K2" s="173" t="n">
        <v>0.05027151515151534</v>
      </c>
      <c r="L2" t="inlineStr">
        <is>
          <t>+0.0503 fatal shootings per 1M residents per year; 95% CI [+0.0250, +0.0756]</t>
        </is>
      </c>
      <c r="M2" t="inlineStr">
        <is>
          <t>National rate shows a statistically significant upward annual trend in the simple national time series.</t>
        </is>
      </c>
      <c r="N2" t="inlineStr">
        <is>
          <t>Only 10 annual observations; treat as descriptive trend evidence, not causal.</t>
        </is>
      </c>
      <c r="O2" t="b">
        <v>1</v>
      </c>
      <c r="P2" t="b">
        <v>1</v>
      </c>
    </row>
    <row r="3">
      <c r="A3" t="inlineStr">
        <is>
          <t>T02</t>
        </is>
      </c>
      <c r="B3" t="inlineStr">
        <is>
          <t>Trend/per-capita</t>
        </is>
      </c>
      <c r="C3" t="inlineStr">
        <is>
          <t>Is the national fatal shooting rate monotonic over time?</t>
        </is>
      </c>
      <c r="D3" t="inlineStr">
        <is>
          <t>Spearman rank correlation: year vs national rate per 1M</t>
        </is>
      </c>
      <c r="E3" s="172" t="n">
        <v>10</v>
      </c>
      <c r="F3" s="172" t="n"/>
      <c r="G3" s="173" t="n">
        <v>0.7696969696969697</v>
      </c>
      <c r="H3" s="173" t="n">
        <v>0.009221952722215994</v>
      </c>
      <c r="I3" s="173" t="n">
        <v>0.01383292908332399</v>
      </c>
      <c r="J3" s="173" t="inlineStr">
        <is>
          <t>spearman_rho</t>
        </is>
      </c>
      <c r="K3" s="173" t="n">
        <v>0.7696969696969697</v>
      </c>
      <c r="L3" t="inlineStr">
        <is>
          <t>Positive means later years tend to have higher rates.</t>
        </is>
      </c>
      <c r="M3" t="inlineStr">
        <is>
          <t>National rate is significantly monotonic upward over the decade.</t>
        </is>
      </c>
      <c r="N3" t="inlineStr">
        <is>
          <t>Ranks only; ignores population exposure model and serial dependence.</t>
        </is>
      </c>
      <c r="O3" t="b">
        <v>1</v>
      </c>
      <c r="P3" t="b">
        <v>1</v>
      </c>
    </row>
    <row r="4">
      <c r="A4" t="inlineStr">
        <is>
          <t>T03</t>
        </is>
      </c>
      <c r="B4" t="inlineStr">
        <is>
          <t>Trend/per-capita</t>
        </is>
      </c>
      <c r="C4" t="inlineStr">
        <is>
          <t>Has the national unarmed fatal shooting rate changed from 2015-2024?</t>
        </is>
      </c>
      <c r="D4" t="inlineStr">
        <is>
          <t>OLS: national unarmed_per_1m ~ year_index</t>
        </is>
      </c>
      <c r="E4" s="172" t="n">
        <v>10</v>
      </c>
      <c r="F4" s="172" t="n">
        <v>8</v>
      </c>
      <c r="G4" s="173" t="n">
        <v>-4.615067232754672</v>
      </c>
      <c r="H4" s="173" t="n">
        <v>0.001721241982344908</v>
      </c>
      <c r="I4" s="173" t="n">
        <v>0.003756815277984247</v>
      </c>
      <c r="J4" s="173" t="inlineStr">
        <is>
          <t>slope_unarmed_per_1m_per_year</t>
        </is>
      </c>
      <c r="K4" s="173" t="n">
        <v>-0.01648969696969696</v>
      </c>
      <c r="L4" t="inlineStr">
        <is>
          <t>-0.0165 unarmed fatal shootings per 1M residents per year; 95% CI [-0.0247, -0.0083]</t>
        </is>
      </c>
      <c r="M4" t="inlineStr">
        <is>
          <t>National unarmed rate shows a statistically significant downward annual trend.</t>
        </is>
      </c>
      <c r="N4" t="inlineStr">
        <is>
          <t>Unarmed coding can be sensitive to reporting/categorization changes.</t>
        </is>
      </c>
      <c r="O4" t="b">
        <v>1</v>
      </c>
      <c r="P4" t="b">
        <v>1</v>
      </c>
    </row>
    <row r="5">
      <c r="A5" t="inlineStr">
        <is>
          <t>T04</t>
        </is>
      </c>
      <c r="B5" t="inlineStr">
        <is>
          <t>Trend/per-capita</t>
        </is>
      </c>
      <c r="C5" t="inlineStr">
        <is>
          <t>Is the national unarmed rate monotonic over time?</t>
        </is>
      </c>
      <c r="D5" t="inlineStr">
        <is>
          <t>Spearman rank correlation: year vs national unarmed rate per 1M</t>
        </is>
      </c>
      <c r="E5" s="172" t="n">
        <v>10</v>
      </c>
      <c r="F5" s="172" t="n"/>
      <c r="G5" s="173" t="n">
        <v>-0.9151515151515152</v>
      </c>
      <c r="H5" s="173" t="n">
        <v>0.0002044724061488323</v>
      </c>
      <c r="I5" s="173" t="n">
        <v>0.0006134172184464968</v>
      </c>
      <c r="J5" s="173" t="inlineStr">
        <is>
          <t>spearman_rho</t>
        </is>
      </c>
      <c r="K5" s="173" t="n">
        <v>-0.9151515151515152</v>
      </c>
      <c r="L5" t="inlineStr">
        <is>
          <t>Negative means later years tend to have lower unarmed rates.</t>
        </is>
      </c>
      <c r="M5" t="inlineStr">
        <is>
          <t>National unarmed rate is significantly monotonic downward.</t>
        </is>
      </c>
      <c r="N5" t="inlineStr">
        <is>
          <t>Ranks only; counts are small and annual coding practices matter.</t>
        </is>
      </c>
      <c r="O5" t="b">
        <v>1</v>
      </c>
      <c r="P5" t="b">
        <v>1</v>
      </c>
    </row>
    <row r="6">
      <c r="A6" t="inlineStr">
        <is>
          <t>T05</t>
        </is>
      </c>
      <c r="B6" t="inlineStr">
        <is>
          <t>Panel/per-capita</t>
        </is>
      </c>
      <c r="C6" t="inlineStr">
        <is>
          <t>Does the state-year count rate change over time after controlling for state?</t>
        </is>
      </c>
      <c r="D6" t="inlineStr">
        <is>
          <t>Poisson GLM with log(population) offset, state fixed effects, cluster-robust SE by state</t>
        </is>
      </c>
      <c r="E6" s="172" t="n">
        <v>510</v>
      </c>
      <c r="F6" s="172" t="n">
        <v>458</v>
      </c>
      <c r="G6" s="173" t="n">
        <v>1.782104487433595</v>
      </c>
      <c r="H6" s="173" t="n">
        <v>0.07473219417299486</v>
      </c>
      <c r="I6" s="173" t="n">
        <v>0.09808600485205575</v>
      </c>
      <c r="J6" s="173" t="inlineStr">
        <is>
          <t>incidence_rate_ratio_per_year</t>
        </is>
      </c>
      <c r="K6" s="173" t="n">
        <v>1.015656472167139</v>
      </c>
      <c r="L6" t="inlineStr">
        <is>
          <t>IRR/year=1.0157; 95% CI [0.9985, 1.0332]; Pearson overdispersion=1.21</t>
        </is>
      </c>
      <c r="M6" t="inlineStr">
        <is>
          <t>State fixed-effects Poisson trend is upward but not significant after clustered SE and FDR correction.</t>
        </is>
      </c>
      <c r="N6" t="inlineStr">
        <is>
          <t>Cluster-robust Poisson reduces but does not eliminate all panel-dependence concerns.</t>
        </is>
      </c>
      <c r="O6" t="b">
        <v>0</v>
      </c>
      <c r="P6" t="b">
        <v>0</v>
      </c>
    </row>
    <row r="7">
      <c r="A7" t="inlineStr">
        <is>
          <t>T06</t>
        </is>
      </c>
      <c r="B7" t="inlineStr">
        <is>
          <t>Panel/per-capita</t>
        </is>
      </c>
      <c r="C7" t="inlineStr">
        <is>
          <t>Is there a post-2020 shift in rates after controlling for linear trend and state?</t>
        </is>
      </c>
      <c r="D7" t="inlineStr">
        <is>
          <t>Poisson GLM: count ~ year_index + post_2020 + state fixed effects + log(population) offset</t>
        </is>
      </c>
      <c r="E7" s="172" t="n">
        <v>510</v>
      </c>
      <c r="F7" s="172" t="n">
        <v>457</v>
      </c>
      <c r="G7" s="173" t="n">
        <v>0.9374711113595647</v>
      </c>
      <c r="H7" s="173" t="n">
        <v>0.3485162769935669</v>
      </c>
      <c r="I7" s="173" t="n">
        <v>0.3852022008876266</v>
      </c>
      <c r="J7" s="173" t="inlineStr">
        <is>
          <t>post_2020_incidence_rate_ratio</t>
        </is>
      </c>
      <c r="K7" s="173" t="n">
        <v>1.056009504720201</v>
      </c>
      <c r="L7" t="inlineStr">
        <is>
          <t>2021-2024 vs 2015-2020 IRR=1.0560; 95% CI [0.9423, 1.1835]</t>
        </is>
      </c>
      <c r="M7" t="inlineStr">
        <is>
          <t>No statistically reliable post-2020 step change after adjusting for state and linear trend.</t>
        </is>
      </c>
      <c r="N7" t="inlineStr">
        <is>
          <t>A simple step-change model; not a causal test and may absorb nonlinear trend into post period.</t>
        </is>
      </c>
      <c r="O7" t="b">
        <v>0</v>
      </c>
      <c r="P7" t="b">
        <v>0</v>
      </c>
    </row>
    <row r="8">
      <c r="A8" t="inlineStr">
        <is>
          <t>T07</t>
        </is>
      </c>
      <c r="B8" t="inlineStr">
        <is>
          <t>Geographic/per-capita</t>
        </is>
      </c>
      <c r="C8" t="inlineStr">
        <is>
          <t>Are 2015-2024 state counts consistent with one common national per-capita rate?</t>
        </is>
      </c>
      <c r="D8" t="inlineStr">
        <is>
          <t>Chi-square goodness-of-fit: observed state counts vs expected counts proportional to population-year exposure</t>
        </is>
      </c>
      <c r="E8" s="172" t="n">
        <v>10430</v>
      </c>
      <c r="F8" s="172" t="n">
        <v>50</v>
      </c>
      <c r="G8" s="173" t="n">
        <v>2328.951701998549</v>
      </c>
      <c r="H8" s="173" t="n">
        <v>0</v>
      </c>
      <c r="I8" s="173" t="n">
        <v>0</v>
      </c>
      <c r="J8" s="173" t="inlineStr">
        <is>
          <t>Cohen's w</t>
        </is>
      </c>
      <c r="K8" s="173" t="n">
        <v>0.4725394667653354</v>
      </c>
      <c r="L8" t="inlineStr">
        <is>
          <t>Large chi-square means state counts vary far more than population alone would predict. Top positive residuals: NM, AZ, CO, OK, AK; top negative residuals: NY, MA, NJ, IL, PA.</t>
        </is>
      </c>
      <c r="M8" t="inlineStr">
        <is>
          <t>State totals are not explainable by population exposure alone; geography matters substantially.</t>
        </is>
      </c>
      <c r="N8" t="inlineStr">
        <is>
          <t>This confirms geographic heterogeneity; it does not explain why states differ.</t>
        </is>
      </c>
      <c r="O8" t="b">
        <v>1</v>
      </c>
      <c r="P8" t="b">
        <v>1</v>
      </c>
    </row>
    <row r="9">
      <c r="A9" t="inlineStr">
        <is>
          <t>T08</t>
        </is>
      </c>
      <c r="B9" t="inlineStr">
        <is>
          <t>Geographic/per-capita</t>
        </is>
      </c>
      <c r="C9" t="inlineStr">
        <is>
          <t>Do state annualized fatal-shooting rates differ by Census region?</t>
        </is>
      </c>
      <c r="D9" t="inlineStr">
        <is>
          <t>Kruskal-Wallis test on state annualized rates by region</t>
        </is>
      </c>
      <c r="E9" s="172" t="n">
        <v>51</v>
      </c>
      <c r="F9" s="172" t="n">
        <v>3</v>
      </c>
      <c r="G9" s="173" t="n">
        <v>27.34275790603979</v>
      </c>
      <c r="H9" s="173" t="n">
        <v>4.989399822077764e-06</v>
      </c>
      <c r="I9" s="173" t="n">
        <v>1.746289937727217e-05</v>
      </c>
      <c r="J9" s="173" t="inlineStr">
        <is>
          <t>epsilon_squared_kw</t>
        </is>
      </c>
      <c r="K9" s="173" t="n">
        <v>0.5179310192774425</v>
      </c>
      <c r="L9" t="inlineStr">
        <is>
          <t>Higher median rates by region: West: 5.56/1M; South: 3.99/1M; Midwest: 2.69/1M; Northeast: 1.19/1M</t>
        </is>
      </c>
      <c r="M9" t="inlineStr">
        <is>
          <t>Census regions differ significantly in state annualized rates; West is highest by median rate.</t>
        </is>
      </c>
      <c r="N9" t="inlineStr">
        <is>
          <t>State rates within regions are not independent cultural/legal systems; this is exploratory.</t>
        </is>
      </c>
      <c r="O9" t="b">
        <v>1</v>
      </c>
      <c r="P9" t="b">
        <v>1</v>
      </c>
    </row>
    <row r="10">
      <c r="A10" t="inlineStr">
        <is>
          <t>T09</t>
        </is>
      </c>
      <c r="B10" t="inlineStr">
        <is>
          <t>Incident characteristics</t>
        </is>
      </c>
      <c r="C10" t="inlineStr">
        <is>
          <t>Did the share of fatal shootings with body camera indicated vary by year?</t>
        </is>
      </c>
      <c r="D10" t="inlineStr">
        <is>
          <t>Chi-square test of independence: year x body_camera</t>
        </is>
      </c>
      <c r="E10" s="172" t="n">
        <v>10430</v>
      </c>
      <c r="F10" s="172" t="n">
        <v>9</v>
      </c>
      <c r="G10" s="173" t="n">
        <v>278.1862295578475</v>
      </c>
      <c r="H10" s="173" t="n">
        <v>1.095316909822508e-54</v>
      </c>
      <c r="I10" s="173" t="n">
        <v>1.150082755313633e-53</v>
      </c>
      <c r="J10" s="173" t="inlineStr">
        <is>
          <t>Cramer's V</t>
        </is>
      </c>
      <c r="K10" s="173" t="n">
        <v>0.1633148438221131</v>
      </c>
      <c r="L10" t="inlineStr">
        <is>
          <t>Body-camera indicated share ranged from 7.5% to 30.3% across years.</t>
        </is>
      </c>
      <c r="M10" t="inlineStr">
        <is>
          <t>Body-camera indication varies significantly by year; association is modest.</t>
        </is>
      </c>
      <c r="N10" t="inlineStr">
        <is>
          <t>This is incident-level reporting association, not per-capita rate or causality.</t>
        </is>
      </c>
      <c r="O10" t="b">
        <v>1</v>
      </c>
      <c r="P10" t="b">
        <v>1</v>
      </c>
    </row>
    <row r="11">
      <c r="A11" t="inlineStr">
        <is>
          <t>T10</t>
        </is>
      </c>
      <c r="B11" t="inlineStr">
        <is>
          <t>Incident characteristics</t>
        </is>
      </c>
      <c r="C11" t="inlineStr">
        <is>
          <t>Within recorded fatal shootings with known race, does unarmed share vary by race/ethnicity label?</t>
        </is>
      </c>
      <c r="D11" t="inlineStr">
        <is>
          <t>Chi-square test of independence: collapsed race/ethnicity label x is_unarmed</t>
        </is>
      </c>
      <c r="E11" s="172" t="n">
        <v>9242</v>
      </c>
      <c r="F11" s="172" t="n">
        <v>5</v>
      </c>
      <c r="G11" s="173" t="n">
        <v>22.11373660229826</v>
      </c>
      <c r="H11" s="173" t="n">
        <v>0.000498161678492664</v>
      </c>
      <c r="I11" s="173" t="n">
        <v>0.001307674406043243</v>
      </c>
      <c r="J11" s="173" t="inlineStr">
        <is>
          <t>Cramer's V</t>
        </is>
      </c>
      <c r="K11" s="173" t="n">
        <v>0.04891567874587099</v>
      </c>
      <c r="L11" t="inlineStr">
        <is>
          <t>Unarmed share among fatal incidents: Other/multiracial: 10.0%; Black: 7.2%; Native American: 6.8%; Hispanic: 6.5%; Asian heritage: 4.9%; White: 4.8%</t>
        </is>
      </c>
      <c r="M11" t="inlineStr">
        <is>
          <t>Unarmed share differs by recorded race/ethnicity label, but effect size is very small; do not read as per-capita racial risk.</t>
        </is>
      </c>
      <c r="N11" t="inlineStr">
        <is>
          <t>This is not racial per-capita risk because group population denominators were not in the current package.</t>
        </is>
      </c>
      <c r="O11" t="b">
        <v>1</v>
      </c>
      <c r="P11" t="b">
        <v>1</v>
      </c>
    </row>
    <row r="12">
      <c r="A12" t="inlineStr">
        <is>
          <t>T11</t>
        </is>
      </c>
      <c r="B12" t="inlineStr">
        <is>
          <t>Incident characteristics</t>
        </is>
      </c>
      <c r="C12" t="inlineStr">
        <is>
          <t>Is mental-illness-related indication associated with whether the decedent was unarmed?</t>
        </is>
      </c>
      <c r="D12" t="inlineStr">
        <is>
          <t>Chi-square test of independence: mental_illness_related x is_unarmed</t>
        </is>
      </c>
      <c r="E12" s="172" t="n">
        <v>10430</v>
      </c>
      <c r="F12" s="172" t="n">
        <v>1</v>
      </c>
      <c r="G12" s="173" t="n">
        <v>0.4154916974553811</v>
      </c>
      <c r="H12" s="173" t="n">
        <v>0.5191952151401481</v>
      </c>
      <c r="I12" s="173" t="n">
        <v>0.5451549758971556</v>
      </c>
      <c r="J12" s="173" t="inlineStr">
        <is>
          <t>Cramer's V</t>
        </is>
      </c>
      <c r="K12" s="173" t="n">
        <v>0.006311593507473686</v>
      </c>
      <c r="L12" t="inlineStr">
        <is>
          <t>Unarmed share: not mental-illness-related=5.5%, mental-illness-related=5.1%.</t>
        </is>
      </c>
      <c r="M12" t="inlineStr">
        <is>
          <t>No meaningful association between mental-illness-related flag and unarmed status in this dataset.</t>
        </is>
      </c>
      <c r="N12" t="inlineStr">
        <is>
          <t>Incident-level association; coding/reporting may vary across agencies and time.</t>
        </is>
      </c>
      <c r="O12" t="b">
        <v>0</v>
      </c>
      <c r="P12" t="b">
        <v>0</v>
      </c>
    </row>
    <row r="13">
      <c r="A13" t="inlineStr">
        <is>
          <t>T12</t>
        </is>
      </c>
      <c r="B13" t="inlineStr">
        <is>
          <t>Model diagnostics</t>
        </is>
      </c>
      <c r="C13" t="inlineStr">
        <is>
          <t>Is the best ensemble model biased on the 2023-2024 holdout?</t>
        </is>
      </c>
      <c r="D13" t="inlineStr">
        <is>
          <t>One-sample t-test of prediction error (predicted - actual) against 0</t>
        </is>
      </c>
      <c r="E13" s="172" t="n">
        <v>102</v>
      </c>
      <c r="F13" s="172" t="n">
        <v>101</v>
      </c>
      <c r="G13" s="173" t="n">
        <v>-1.806443334524106</v>
      </c>
      <c r="H13" s="173" t="n">
        <v>0.07382708635109686</v>
      </c>
      <c r="I13" s="173" t="n">
        <v>0.09808600485205575</v>
      </c>
      <c r="J13" s="173" t="inlineStr">
        <is>
          <t>mean_error_pred_minus_actual</t>
        </is>
      </c>
      <c r="K13" s="173" t="n">
        <v>-1.084066647058824</v>
      </c>
      <c r="L13" t="inlineStr">
        <is>
          <t>Mean error=-1.08 fatal shootings; median error=-0.49. Negative means underprediction.</t>
        </is>
      </c>
      <c r="M13" t="inlineStr">
        <is>
          <t>Mean ensemble residual is slightly negative but not statistically distinguishable from zero.</t>
        </is>
      </c>
      <c r="N13" t="inlineStr">
        <is>
          <t>State-year residuals are not guaranteed independent; use with holdout context.</t>
        </is>
      </c>
      <c r="O13" t="b">
        <v>0</v>
      </c>
      <c r="P13" t="b">
        <v>0</v>
      </c>
    </row>
    <row r="14">
      <c r="A14" t="inlineStr">
        <is>
          <t>T13</t>
        </is>
      </c>
      <c r="B14" t="inlineStr">
        <is>
          <t>Model diagnostics</t>
        </is>
      </c>
      <c r="C14" t="inlineStr">
        <is>
          <t>Is the ensemble residual distribution approximately normal?</t>
        </is>
      </c>
      <c r="D14" t="inlineStr">
        <is>
          <t>Shapiro-Wilk normality test on ensemble holdout residuals</t>
        </is>
      </c>
      <c r="E14" s="172" t="n">
        <v>102</v>
      </c>
      <c r="F14" s="172" t="n"/>
      <c r="G14" s="173" t="n">
        <v>0.9006179135985402</v>
      </c>
      <c r="H14" s="173" t="n">
        <v>1.23251388110065e-06</v>
      </c>
      <c r="I14" s="173" t="n">
        <v>5.17655830062273e-06</v>
      </c>
      <c r="J14" s="173" t="n"/>
      <c r="K14" s="173" t="n"/>
      <c r="L14" t="inlineStr">
        <is>
          <t>Small p-value means residuals deviate from a normal bell curve.</t>
        </is>
      </c>
      <c r="M14" t="inlineStr">
        <is>
          <t>Ensemble residuals are non-normal; prefer robust/nonparametric intervals over normal-theory assumptions.</t>
        </is>
      </c>
      <c r="N14" t="inlineStr">
        <is>
          <t>Normality is not required for prediction usefulness; it matters for parametric uncertainty statements.</t>
        </is>
      </c>
      <c r="O14" t="b">
        <v>1</v>
      </c>
      <c r="P14" t="b">
        <v>1</v>
      </c>
    </row>
    <row r="15">
      <c r="A15" t="inlineStr">
        <is>
          <t>T14</t>
        </is>
      </c>
      <c r="B15" t="inlineStr">
        <is>
          <t>Model diagnostics</t>
        </is>
      </c>
      <c r="C15" t="inlineStr">
        <is>
          <t>Is the median ensemble prediction error different from zero?</t>
        </is>
      </c>
      <c r="D15" t="inlineStr">
        <is>
          <t>Wilcoxon signed-rank test of residuals against zero</t>
        </is>
      </c>
      <c r="E15" s="172" t="n">
        <v>102</v>
      </c>
      <c r="F15" s="172" t="n"/>
      <c r="G15" s="173" t="n">
        <v>2218</v>
      </c>
      <c r="H15" s="173" t="n">
        <v>0.1726786016501721</v>
      </c>
      <c r="I15" s="173" t="n">
        <v>0.2014583685918675</v>
      </c>
      <c r="J15" s="173" t="inlineStr">
        <is>
          <t>median_error_pred_minus_actual</t>
        </is>
      </c>
      <c r="K15" s="173" t="n">
        <v>-0.494222</v>
      </c>
      <c r="L15" t="inlineStr">
        <is>
          <t>Median error=-0.49; negative means underprediction.</t>
        </is>
      </c>
      <c r="M15" t="inlineStr">
        <is>
          <t>Median ensemble residual is not statistically distinguishable from zero.</t>
        </is>
      </c>
      <c r="N15" t="inlineStr">
        <is>
          <t>Complements the mean-bias t-test.</t>
        </is>
      </c>
      <c r="O15" t="b">
        <v>0</v>
      </c>
      <c r="P15" t="b">
        <v>0</v>
      </c>
    </row>
    <row r="16">
      <c r="A16" t="inlineStr">
        <is>
          <t>T15_lag1_baseline</t>
        </is>
      </c>
      <c r="B16" t="inlineStr">
        <is>
          <t>Model comparison</t>
        </is>
      </c>
      <c r="C16" t="inlineStr">
        <is>
          <t>Does the ensemble have lower absolute holdout error than lag1_baseline?</t>
        </is>
      </c>
      <c r="D16" t="inlineStr">
        <is>
          <t>Paired Wilcoxon signed-rank test on absolute errors across 2023-2024 state-year holdout rows</t>
        </is>
      </c>
      <c r="E16" s="172" t="n">
        <v>102</v>
      </c>
      <c r="F16" s="172" t="n"/>
      <c r="G16" s="173" t="n">
        <v>2119</v>
      </c>
      <c r="H16" s="173" t="n">
        <v>0.09024109738685404</v>
      </c>
      <c r="I16" s="173" t="n">
        <v>0.1114742967719962</v>
      </c>
      <c r="J16" s="173" t="inlineStr">
        <is>
          <t>MAE difference: ensemble - comparison</t>
        </is>
      </c>
      <c r="K16" s="173" t="n">
        <v>-0.1796665294117647</v>
      </c>
      <c r="L16" t="inlineStr">
        <is>
          <t>Ensemble MAE=4.04; lag1_baseline MAE=4.22; difference=-0.18. Negative favors ensemble.</t>
        </is>
      </c>
      <c r="M16" t="inlineStr">
        <is>
          <t>Ensemble does not significantly outperform this comparator on paired absolute holdout errors.</t>
        </is>
      </c>
      <c r="N16" t="inlineStr">
        <is>
          <t>Tests predictive error only on the 2023-2024 holdout; future years may differ.</t>
        </is>
      </c>
      <c r="O16" t="b">
        <v>0</v>
      </c>
      <c r="P16" t="b">
        <v>0</v>
      </c>
    </row>
    <row r="17">
      <c r="A17" t="inlineStr">
        <is>
          <t>T15_roll3_baseline</t>
        </is>
      </c>
      <c r="B17" t="inlineStr">
        <is>
          <t>Model comparison</t>
        </is>
      </c>
      <c r="C17" t="inlineStr">
        <is>
          <t>Does the ensemble have lower absolute holdout error than roll3_baseline?</t>
        </is>
      </c>
      <c r="D17" t="inlineStr">
        <is>
          <t>Paired Wilcoxon signed-rank test on absolute errors across 2023-2024 state-year holdout rows</t>
        </is>
      </c>
      <c r="E17" s="172" t="n">
        <v>102</v>
      </c>
      <c r="F17" s="172" t="n"/>
      <c r="G17" s="173" t="n">
        <v>2607</v>
      </c>
      <c r="H17" s="173" t="n">
        <v>0.9480987227566137</v>
      </c>
      <c r="I17" s="173" t="n">
        <v>0.9480987227566137</v>
      </c>
      <c r="J17" s="173" t="inlineStr">
        <is>
          <t>MAE difference: ensemble - comparison</t>
        </is>
      </c>
      <c r="K17" s="173" t="n">
        <v>-0.08162729411764716</v>
      </c>
      <c r="L17" t="inlineStr">
        <is>
          <t>Ensemble MAE=4.04; roll3_baseline MAE=4.12; difference=-0.08. Negative favors ensemble.</t>
        </is>
      </c>
      <c r="M17" t="inlineStr">
        <is>
          <t>Ensemble does not significantly outperform this comparator on paired absolute holdout errors.</t>
        </is>
      </c>
      <c r="N17" t="inlineStr">
        <is>
          <t>Tests predictive error only on the 2023-2024 holdout; future years may differ.</t>
        </is>
      </c>
      <c r="O17" t="b">
        <v>0</v>
      </c>
      <c r="P17" t="b">
        <v>0</v>
      </c>
    </row>
    <row r="18">
      <c r="A18" t="inlineStr">
        <is>
          <t>T15_prev_national_rate_baseline</t>
        </is>
      </c>
      <c r="B18" t="inlineStr">
        <is>
          <t>Model comparison</t>
        </is>
      </c>
      <c r="C18" t="inlineStr">
        <is>
          <t>Does the ensemble have lower absolute holdout error than prev_national_rate_baseline?</t>
        </is>
      </c>
      <c r="D18" t="inlineStr">
        <is>
          <t>Paired Wilcoxon signed-rank test on absolute errors across 2023-2024 state-year holdout rows</t>
        </is>
      </c>
      <c r="E18" s="172" t="n">
        <v>102</v>
      </c>
      <c r="F18" s="172" t="n"/>
      <c r="G18" s="173" t="n">
        <v>1142</v>
      </c>
      <c r="H18" s="173" t="n">
        <v>7.213303394406438e-07</v>
      </c>
      <c r="I18" s="173" t="n">
        <v>3.78698428206338e-06</v>
      </c>
      <c r="J18" s="173" t="inlineStr">
        <is>
          <t>MAE difference: ensemble - comparison</t>
        </is>
      </c>
      <c r="K18" s="173" t="n">
        <v>-4.157143333333334</v>
      </c>
      <c r="L18" t="inlineStr">
        <is>
          <t>Ensemble MAE=4.04; prev_national_rate_baseline MAE=8.19; difference=-4.16. Negative favors ensemble.</t>
        </is>
      </c>
      <c r="M18" t="inlineStr">
        <is>
          <t>Ensemble has significantly lower absolute holdout error than this comparator.</t>
        </is>
      </c>
      <c r="N18" t="inlineStr">
        <is>
          <t>Tests predictive error only on the 2023-2024 holdout; future years may differ.</t>
        </is>
      </c>
      <c r="O18" t="b">
        <v>1</v>
      </c>
      <c r="P18" t="b">
        <v>1</v>
      </c>
    </row>
    <row r="19">
      <c r="A19" t="inlineStr">
        <is>
          <t>T15_random_forest_enhanced_lagged</t>
        </is>
      </c>
      <c r="B19" t="inlineStr">
        <is>
          <t>Model comparison</t>
        </is>
      </c>
      <c r="C19" t="inlineStr">
        <is>
          <t>Does the ensemble have lower absolute holdout error than random_forest_enhanced_lagged?</t>
        </is>
      </c>
      <c r="D19" t="inlineStr">
        <is>
          <t>Paired Wilcoxon signed-rank test on absolute errors across 2023-2024 state-year holdout rows</t>
        </is>
      </c>
      <c r="E19" s="172" t="n">
        <v>102</v>
      </c>
      <c r="F19" s="172" t="n"/>
      <c r="G19" s="173" t="n">
        <v>1789</v>
      </c>
      <c r="H19" s="173" t="n">
        <v>0.005178307333100687</v>
      </c>
      <c r="I19" s="173" t="n">
        <v>0.009062037832926202</v>
      </c>
      <c r="J19" s="173" t="inlineStr">
        <is>
          <t>MAE difference: ensemble - comparison</t>
        </is>
      </c>
      <c r="K19" s="173" t="n">
        <v>-0.6470240686274511</v>
      </c>
      <c r="L19" t="inlineStr">
        <is>
          <t>Ensemble MAE=4.04; random_forest_enhanced_lagged MAE=4.68; difference=-0.65. Negative favors ensemble.</t>
        </is>
      </c>
      <c r="M19" t="inlineStr">
        <is>
          <t>Ensemble has significantly lower absolute holdout error than this comparator.</t>
        </is>
      </c>
      <c r="N19" t="inlineStr">
        <is>
          <t>Tests predictive error only on the 2023-2024 holdout; future years may differ.</t>
        </is>
      </c>
      <c r="O19" t="b">
        <v>1</v>
      </c>
      <c r="P19" t="b">
        <v>1</v>
      </c>
    </row>
    <row r="20">
      <c r="A20" t="inlineStr">
        <is>
          <t>T15_ridge_enhanced_lagged</t>
        </is>
      </c>
      <c r="B20" t="inlineStr">
        <is>
          <t>Model comparison</t>
        </is>
      </c>
      <c r="C20" t="inlineStr">
        <is>
          <t>Does the ensemble have lower absolute holdout error than ridge_enhanced_lagged?</t>
        </is>
      </c>
      <c r="D20" t="inlineStr">
        <is>
          <t>Paired Wilcoxon signed-rank test on absolute errors across 2023-2024 state-year holdout rows</t>
        </is>
      </c>
      <c r="E20" s="172" t="n">
        <v>102</v>
      </c>
      <c r="F20" s="172" t="n"/>
      <c r="G20" s="173" t="n">
        <v>1747</v>
      </c>
      <c r="H20" s="173" t="n">
        <v>0.003325483467536374</v>
      </c>
      <c r="I20" s="173" t="n">
        <v>0.006348650256205806</v>
      </c>
      <c r="J20" s="173" t="inlineStr">
        <is>
          <t>MAE difference: ensemble - comparison</t>
        </is>
      </c>
      <c r="K20" s="173" t="n">
        <v>-0.6795826176470591</v>
      </c>
      <c r="L20" t="inlineStr">
        <is>
          <t>Ensemble MAE=4.04; ridge_enhanced_lagged MAE=4.72; difference=-0.68. Negative favors ensemble.</t>
        </is>
      </c>
      <c r="M20" t="inlineStr">
        <is>
          <t>Ensemble has significantly lower absolute holdout error than this comparator.</t>
        </is>
      </c>
      <c r="N20" t="inlineStr">
        <is>
          <t>Tests predictive error only on the 2023-2024 holdout; future years may differ.</t>
        </is>
      </c>
      <c r="O20" t="b">
        <v>1</v>
      </c>
      <c r="P20" t="b">
        <v>1</v>
      </c>
    </row>
    <row r="21">
      <c r="A21" t="inlineStr">
        <is>
          <t>T15_poisson_enhanced_lagged</t>
        </is>
      </c>
      <c r="B21" t="inlineStr">
        <is>
          <t>Model comparison</t>
        </is>
      </c>
      <c r="C21" t="inlineStr">
        <is>
          <t>Does the ensemble have lower absolute holdout error than poisson_enhanced_lagged?</t>
        </is>
      </c>
      <c r="D21" t="inlineStr">
        <is>
          <t>Paired Wilcoxon signed-rank test on absolute errors across 2023-2024 state-year holdout rows</t>
        </is>
      </c>
      <c r="E21" s="172" t="n">
        <v>102</v>
      </c>
      <c r="F21" s="172" t="n"/>
      <c r="G21" s="173" t="n">
        <v>1844</v>
      </c>
      <c r="H21" s="173" t="n">
        <v>0.008998074188878043</v>
      </c>
      <c r="I21" s="173" t="n">
        <v>0.01383292908332399</v>
      </c>
      <c r="J21" s="173" t="inlineStr">
        <is>
          <t>MAE difference: ensemble - comparison</t>
        </is>
      </c>
      <c r="K21" s="173" t="n">
        <v>-1.031737843137255</v>
      </c>
      <c r="L21" t="inlineStr">
        <is>
          <t>Ensemble MAE=4.04; poisson_enhanced_lagged MAE=5.07; difference=-1.03. Negative favors ensemble.</t>
        </is>
      </c>
      <c r="M21" t="inlineStr">
        <is>
          <t>Ensemble has significantly lower absolute holdout error than this comparator.</t>
        </is>
      </c>
      <c r="N21" t="inlineStr">
        <is>
          <t>Tests predictive error only on the 2023-2024 holdout; future years may differ.</t>
        </is>
      </c>
      <c r="O21" t="b">
        <v>1</v>
      </c>
      <c r="P21" t="b">
        <v>1</v>
      </c>
    </row>
    <row r="22">
      <c r="A22" t="inlineStr">
        <is>
          <t>T16</t>
        </is>
      </c>
      <c r="B22" t="inlineStr">
        <is>
          <t>Geographic/per-capita</t>
        </is>
      </c>
      <c r="C22" t="inlineStr">
        <is>
          <t>Across states, do higher overall annualized rates correspond to higher unarmed annualized rates?</t>
        </is>
      </c>
      <c r="D22" t="inlineStr">
        <is>
          <t>Pearson correlation between state annualized overall fatal-shooting rate and state annualized unarmed rate</t>
        </is>
      </c>
      <c r="E22" s="172" t="n">
        <v>51</v>
      </c>
      <c r="F22" s="172" t="n">
        <v>49</v>
      </c>
      <c r="G22" s="173" t="n">
        <v>0.6775309465833761</v>
      </c>
      <c r="H22" s="173" t="n">
        <v>4.748432251463669e-08</v>
      </c>
      <c r="I22" s="173" t="n">
        <v>3.323902576024568e-07</v>
      </c>
      <c r="J22" s="173" t="inlineStr">
        <is>
          <t>pearson_r</t>
        </is>
      </c>
      <c r="K22" s="173" t="n">
        <v>0.6775309465833761</v>
      </c>
      <c r="L22" t="inlineStr">
        <is>
          <t>Pearson r=0.678; Spearman rho=0.583 (p=7.02e-06).</t>
        </is>
      </c>
      <c r="M22" t="inlineStr">
        <is>
          <t>States with higher overall rates also tend to have higher unarmed rates, but this is partly mechanical because unarmed is a subset of total.</t>
        </is>
      </c>
      <c r="N22" t="inlineStr">
        <is>
          <t>Unarmed fatal shootings are a subset of total fatal shootings, so some association is mathematically expected; interpret as descriptive.</t>
        </is>
      </c>
      <c r="O22" t="b">
        <v>1</v>
      </c>
      <c r="P22" t="b">
        <v>1</v>
      </c>
    </row>
  </sheetData>
  <conditionalFormatting sqref="H2:H22">
    <cfRule type="colorScale" priority="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</cols>
  <sheetData>
    <row r="1">
      <c r="A1" s="6" t="inlineStr">
        <is>
          <t>region</t>
        </is>
      </c>
      <c r="B1" s="6" t="inlineStr">
        <is>
          <t>n_states</t>
        </is>
      </c>
      <c r="C1" s="6" t="inlineStr">
        <is>
          <t>median_rate</t>
        </is>
      </c>
      <c r="D1" s="6" t="inlineStr">
        <is>
          <t>mean_rate</t>
        </is>
      </c>
    </row>
    <row r="2">
      <c r="A2" t="inlineStr">
        <is>
          <t>West</t>
        </is>
      </c>
      <c r="B2" t="n">
        <v>13</v>
      </c>
      <c r="C2" s="173" t="n">
        <v>5.5574</v>
      </c>
      <c r="D2" s="173" t="n">
        <v>5.716292307692308</v>
      </c>
    </row>
    <row r="3">
      <c r="A3" t="inlineStr">
        <is>
          <t>South</t>
        </is>
      </c>
      <c r="B3" t="n">
        <v>17</v>
      </c>
      <c r="C3" s="173" t="n">
        <v>3.9851</v>
      </c>
      <c r="D3" s="173" t="n">
        <v>3.868241176470588</v>
      </c>
    </row>
    <row r="4">
      <c r="A4" t="inlineStr">
        <is>
          <t>Midwest</t>
        </is>
      </c>
      <c r="B4" t="n">
        <v>12</v>
      </c>
      <c r="C4" s="173" t="n">
        <v>2.693</v>
      </c>
      <c r="D4" s="173" t="n">
        <v>2.798391666666667</v>
      </c>
    </row>
    <row r="5">
      <c r="A5" t="inlineStr">
        <is>
          <t>Northeast</t>
        </is>
      </c>
      <c r="B5" t="n">
        <v>9</v>
      </c>
      <c r="C5" s="173" t="n">
        <v>1.1851</v>
      </c>
      <c r="D5" s="173" t="n">
        <v>1.6473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  <col width="18" customWidth="1" style="16" min="12" max="12"/>
    <col width="16" customWidth="1" style="16" min="13" max="13"/>
  </cols>
  <sheetData>
    <row r="1">
      <c r="A1" s="6" t="inlineStr">
        <is>
          <t>best_model</t>
        </is>
      </c>
      <c r="B1" s="6" t="inlineStr">
        <is>
          <t>comparison_model</t>
        </is>
      </c>
      <c r="C1" s="6" t="inlineStr">
        <is>
          <t>n</t>
        </is>
      </c>
      <c r="D1" s="6" t="inlineStr">
        <is>
          <t>best_mae</t>
        </is>
      </c>
      <c r="E1" s="6" t="inlineStr">
        <is>
          <t>comparison_mae</t>
        </is>
      </c>
      <c r="F1" s="6" t="inlineStr">
        <is>
          <t>mae_difference_best_minus_comparison</t>
        </is>
      </c>
      <c r="G1" s="6" t="inlineStr">
        <is>
          <t>median_abs_error_difference</t>
        </is>
      </c>
      <c r="H1" s="6" t="inlineStr">
        <is>
          <t>wilcoxon_statistic</t>
        </is>
      </c>
      <c r="I1" s="6" t="inlineStr">
        <is>
          <t>wilcoxon_p_value</t>
        </is>
      </c>
      <c r="J1" s="6" t="inlineStr">
        <is>
          <t>paired_t_statistic</t>
        </is>
      </c>
      <c r="K1" s="6" t="inlineStr">
        <is>
          <t>paired_t_p_value</t>
        </is>
      </c>
      <c r="L1" s="6" t="inlineStr">
        <is>
          <t>interpretation</t>
        </is>
      </c>
      <c r="M1" s="6" t="inlineStr">
        <is>
          <t>wilcoxon_p_bh_fdr</t>
        </is>
      </c>
    </row>
    <row r="2">
      <c r="A2" t="inlineStr">
        <is>
          <t>ensemble_top4_holdout_mae</t>
        </is>
      </c>
      <c r="B2" t="inlineStr">
        <is>
          <t>prev_national_rate_baseline</t>
        </is>
      </c>
      <c r="C2" s="172" t="n">
        <v>102</v>
      </c>
      <c r="D2" s="173" t="n">
        <v>4.036019745098039</v>
      </c>
      <c r="E2" s="173" t="n">
        <v>8.193163078431372</v>
      </c>
      <c r="F2" s="173" t="n">
        <v>-4.157143333333334</v>
      </c>
      <c r="G2" s="173" t="n">
        <v>-2.250808999999999</v>
      </c>
      <c r="H2" s="173" t="n">
        <v>1142</v>
      </c>
      <c r="I2" s="173" t="n">
        <v>7.213303394406438e-07</v>
      </c>
      <c r="J2" s="173" t="n">
        <v>-4.931095082981497</v>
      </c>
      <c r="K2" s="173" t="n">
        <v>3.218593475616756e-06</v>
      </c>
      <c r="L2" t="inlineStr">
        <is>
          <t>negative difference means ensemble has lower absolute error</t>
        </is>
      </c>
      <c r="M2" t="n">
        <v>4.327982036643863e-06</v>
      </c>
    </row>
    <row r="3">
      <c r="A3" t="inlineStr">
        <is>
          <t>ensemble_top4_holdout_mae</t>
        </is>
      </c>
      <c r="B3" t="inlineStr">
        <is>
          <t>poisson_enhanced_lagged</t>
        </is>
      </c>
      <c r="C3" s="172" t="n">
        <v>102</v>
      </c>
      <c r="D3" s="173" t="n">
        <v>4.036019745098039</v>
      </c>
      <c r="E3" s="173" t="n">
        <v>5.067757588235295</v>
      </c>
      <c r="F3" s="173" t="n">
        <v>-1.031737843137255</v>
      </c>
      <c r="G3" s="173" t="n">
        <v>-0.560073</v>
      </c>
      <c r="H3" s="173" t="n">
        <v>1844</v>
      </c>
      <c r="I3" s="173" t="n">
        <v>0.008998074188878043</v>
      </c>
      <c r="J3" s="173" t="n">
        <v>-2.250385358211469</v>
      </c>
      <c r="K3" s="173" t="n">
        <v>0.02659272577898483</v>
      </c>
      <c r="L3" t="inlineStr">
        <is>
          <t>negative difference means ensemble has lower absolute error</t>
        </is>
      </c>
      <c r="M3" t="n">
        <v>0.01349711128331707</v>
      </c>
    </row>
    <row r="4">
      <c r="A4" t="inlineStr">
        <is>
          <t>ensemble_top4_holdout_mae</t>
        </is>
      </c>
      <c r="B4" t="inlineStr">
        <is>
          <t>ridge_enhanced_lagged</t>
        </is>
      </c>
      <c r="C4" s="172" t="n">
        <v>102</v>
      </c>
      <c r="D4" s="173" t="n">
        <v>4.036019745098039</v>
      </c>
      <c r="E4" s="173" t="n">
        <v>4.715602362745098</v>
      </c>
      <c r="F4" s="173" t="n">
        <v>-0.6795826176470591</v>
      </c>
      <c r="G4" s="173" t="n">
        <v>-0.708334</v>
      </c>
      <c r="H4" s="173" t="n">
        <v>1747</v>
      </c>
      <c r="I4" s="173" t="n">
        <v>0.003325483467536374</v>
      </c>
      <c r="J4" s="173" t="n">
        <v>-2.876346855092547</v>
      </c>
      <c r="K4" s="173" t="n">
        <v>0.004908232586681548</v>
      </c>
      <c r="L4" t="inlineStr">
        <is>
          <t>negative difference means ensemble has lower absolute error</t>
        </is>
      </c>
      <c r="M4" t="n">
        <v>0.009976450402609124</v>
      </c>
    </row>
    <row r="5">
      <c r="A5" t="inlineStr">
        <is>
          <t>ensemble_top4_holdout_mae</t>
        </is>
      </c>
      <c r="B5" t="inlineStr">
        <is>
          <t>random_forest_enhanced_lagged</t>
        </is>
      </c>
      <c r="C5" s="172" t="n">
        <v>102</v>
      </c>
      <c r="D5" s="173" t="n">
        <v>4.036019745098039</v>
      </c>
      <c r="E5" s="173" t="n">
        <v>4.68304381372549</v>
      </c>
      <c r="F5" s="173" t="n">
        <v>-0.6470240686274511</v>
      </c>
      <c r="G5" s="173" t="n">
        <v>-0.4009669999999999</v>
      </c>
      <c r="H5" s="173" t="n">
        <v>1789</v>
      </c>
      <c r="I5" s="173" t="n">
        <v>0.005178307333100687</v>
      </c>
      <c r="J5" s="173" t="n">
        <v>-2.052663411155125</v>
      </c>
      <c r="K5" s="173" t="n">
        <v>0.0426909906231572</v>
      </c>
      <c r="L5" t="inlineStr">
        <is>
          <t>negative difference means ensemble has lower absolute error</t>
        </is>
      </c>
      <c r="M5" t="n">
        <v>0.01035661466620137</v>
      </c>
    </row>
    <row r="6">
      <c r="A6" t="inlineStr">
        <is>
          <t>ensemble_top4_holdout_mae</t>
        </is>
      </c>
      <c r="B6" t="inlineStr">
        <is>
          <t>lag1_baseline</t>
        </is>
      </c>
      <c r="C6" s="172" t="n">
        <v>102</v>
      </c>
      <c r="D6" s="173" t="n">
        <v>4.036019745098039</v>
      </c>
      <c r="E6" s="173" t="n">
        <v>4.215686274509804</v>
      </c>
      <c r="F6" s="173" t="n">
        <v>-0.1796665294117647</v>
      </c>
      <c r="G6" s="173" t="n">
        <v>-0.3180654999999999</v>
      </c>
      <c r="H6" s="173" t="n">
        <v>2119</v>
      </c>
      <c r="I6" s="173" t="n">
        <v>0.09024109738685404</v>
      </c>
      <c r="J6" s="173" t="n">
        <v>-0.5978142241677348</v>
      </c>
      <c r="K6" s="173" t="n">
        <v>0.5513019883584971</v>
      </c>
      <c r="L6" t="inlineStr">
        <is>
          <t>negative difference means ensemble has lower absolute error</t>
        </is>
      </c>
      <c r="M6" t="n">
        <v>0.1082893168642248</v>
      </c>
    </row>
    <row r="7">
      <c r="A7" t="inlineStr">
        <is>
          <t>ensemble_top4_holdout_mae</t>
        </is>
      </c>
      <c r="B7" t="inlineStr">
        <is>
          <t>roll3_baseline</t>
        </is>
      </c>
      <c r="C7" s="172" t="n">
        <v>102</v>
      </c>
      <c r="D7" s="173" t="n">
        <v>4.036019745098039</v>
      </c>
      <c r="E7" s="173" t="n">
        <v>4.117647039215687</v>
      </c>
      <c r="F7" s="173" t="n">
        <v>-0.08162729411764716</v>
      </c>
      <c r="G7" s="173" t="n">
        <v>0.1565540000000001</v>
      </c>
      <c r="H7" s="173" t="n">
        <v>2607</v>
      </c>
      <c r="I7" s="173" t="n">
        <v>0.9480987227566137</v>
      </c>
      <c r="J7" s="173" t="n">
        <v>-0.3798109109098728</v>
      </c>
      <c r="K7" s="173" t="n">
        <v>0.7048832522034739</v>
      </c>
      <c r="L7" t="inlineStr">
        <is>
          <t>negative difference means ensemble has lower absolute error</t>
        </is>
      </c>
      <c r="M7" t="n">
        <v>0.9480987227566137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6" min="1" max="1"/>
    <col width="18" customWidth="1" style="16" min="2" max="2"/>
    <col width="18" customWidth="1" style="16" min="3" max="3"/>
    <col width="18" customWidth="1" style="16" min="4" max="4"/>
    <col width="18" customWidth="1" style="16" min="5" max="5"/>
    <col width="18" customWidth="1" style="16" min="6" max="6"/>
    <col width="18" customWidth="1" style="16" min="7" max="7"/>
    <col width="18" customWidth="1" style="16" min="8" max="8"/>
    <col width="18" customWidth="1" style="16" min="9" max="9"/>
    <col width="18" customWidth="1" style="16" min="10" max="10"/>
    <col width="18" customWidth="1" style="16" min="11" max="11"/>
  </cols>
  <sheetData>
    <row r="1">
      <c r="A1" s="6" t="inlineStr">
        <is>
          <t>state_abbr</t>
        </is>
      </c>
      <c r="B1" s="6" t="inlineStr">
        <is>
          <t>state_name</t>
        </is>
      </c>
      <c r="C1" s="6" t="inlineStr">
        <is>
          <t>fatal_shootings</t>
        </is>
      </c>
      <c r="D1" s="6" t="inlineStr">
        <is>
          <t>exposure_population</t>
        </is>
      </c>
      <c r="E1" s="6" t="inlineStr">
        <is>
          <t>annualized_rate_per_1m</t>
        </is>
      </c>
      <c r="F1" s="6" t="inlineStr">
        <is>
          <t>expected_if_national_rate</t>
        </is>
      </c>
      <c r="G1" s="6" t="inlineStr">
        <is>
          <t>std_residual</t>
        </is>
      </c>
      <c r="H1" s="6" t="inlineStr">
        <is>
          <t>annualized_fatal_shootings_per_1m</t>
        </is>
      </c>
      <c r="I1" s="6" t="inlineStr">
        <is>
          <t>rank_by_annualized_rate_per_1m</t>
        </is>
      </c>
      <c r="J1" s="6" t="inlineStr">
        <is>
          <t>unarmed_count_2015_2024</t>
        </is>
      </c>
      <c r="K1" s="6" t="inlineStr">
        <is>
          <t>annualized_unarmed_per_1m</t>
        </is>
      </c>
    </row>
    <row r="2">
      <c r="A2" t="inlineStr">
        <is>
          <t>NM</t>
        </is>
      </c>
      <c r="B2" t="inlineStr">
        <is>
          <t>New Mexico</t>
        </is>
      </c>
      <c r="C2" s="172" t="n">
        <v>219</v>
      </c>
      <c r="D2" s="172" t="n">
        <v>21057003</v>
      </c>
      <c r="E2" s="173" t="n">
        <v>10.39598</v>
      </c>
      <c r="F2" s="173" t="n">
        <v>66.59481657127863</v>
      </c>
      <c r="G2" t="n">
        <v>18.67581333312209</v>
      </c>
      <c r="H2" s="172" t="n">
        <v>10.4003</v>
      </c>
      <c r="I2" s="173" t="n">
        <v>1</v>
      </c>
      <c r="J2" s="172" t="n">
        <v>12</v>
      </c>
      <c r="K2" t="n">
        <v>0.569881749536971</v>
      </c>
    </row>
    <row r="3">
      <c r="A3" t="inlineStr">
        <is>
          <t>AZ</t>
        </is>
      </c>
      <c r="B3" t="inlineStr">
        <is>
          <t>Arizona</t>
        </is>
      </c>
      <c r="C3" s="172" t="n">
        <v>461</v>
      </c>
      <c r="D3" s="172" t="n">
        <v>72090728</v>
      </c>
      <c r="E3" s="173" t="n">
        <v>6.398300000000001</v>
      </c>
      <c r="F3" s="173" t="n">
        <v>227.9939271343572</v>
      </c>
      <c r="G3" t="n">
        <v>15.43140965722477</v>
      </c>
      <c r="H3" s="172" t="n">
        <v>6.3947</v>
      </c>
      <c r="I3" s="173" t="n">
        <v>5</v>
      </c>
      <c r="J3" s="172" t="n">
        <v>27</v>
      </c>
      <c r="K3" t="n">
        <v>0.3745280426484792</v>
      </c>
    </row>
    <row r="4">
      <c r="A4" t="inlineStr">
        <is>
          <t>CO</t>
        </is>
      </c>
      <c r="B4" t="inlineStr">
        <is>
          <t>Colorado</t>
        </is>
      </c>
      <c r="C4" s="172" t="n">
        <v>375</v>
      </c>
      <c r="D4" s="172" t="n">
        <v>57407084</v>
      </c>
      <c r="E4" s="173" t="n">
        <v>6.51982</v>
      </c>
      <c r="F4" s="173" t="n">
        <v>181.5554772382368</v>
      </c>
      <c r="G4" t="n">
        <v>14.35660527099007</v>
      </c>
      <c r="H4" s="172" t="n">
        <v>6.5323</v>
      </c>
      <c r="I4" s="173" t="n">
        <v>4</v>
      </c>
      <c r="J4" s="172" t="n">
        <v>17</v>
      </c>
      <c r="K4" t="n">
        <v>0.2961307211584355</v>
      </c>
    </row>
    <row r="5">
      <c r="A5" t="inlineStr">
        <is>
          <t>OK</t>
        </is>
      </c>
      <c r="B5" t="inlineStr">
        <is>
          <t>Oklahoma</t>
        </is>
      </c>
      <c r="C5" s="172" t="n">
        <v>266</v>
      </c>
      <c r="D5" s="172" t="n">
        <v>39808157</v>
      </c>
      <c r="E5" s="173" t="n">
        <v>6.69699</v>
      </c>
      <c r="F5" s="173" t="n">
        <v>125.8971617877274</v>
      </c>
      <c r="G5" t="n">
        <v>12.48644945748507</v>
      </c>
      <c r="H5" s="172" t="n">
        <v>6.682</v>
      </c>
      <c r="I5" s="173" t="n">
        <v>3</v>
      </c>
      <c r="J5" s="172" t="n">
        <v>20</v>
      </c>
      <c r="K5" t="n">
        <v>0.5024095562316871</v>
      </c>
    </row>
    <row r="6">
      <c r="A6" t="inlineStr">
        <is>
          <t>AK</t>
        </is>
      </c>
      <c r="B6" t="inlineStr">
        <is>
          <t>Alaska</t>
        </is>
      </c>
      <c r="C6" s="172" t="n">
        <v>69</v>
      </c>
      <c r="D6" s="172" t="n">
        <v>7357684</v>
      </c>
      <c r="E6" s="173" t="n">
        <v>9.377219999999999</v>
      </c>
      <c r="F6" s="173" t="n">
        <v>23.2693900632218</v>
      </c>
      <c r="G6" t="n">
        <v>9.480134391870784</v>
      </c>
      <c r="H6" s="172" t="n">
        <v>9.378</v>
      </c>
      <c r="I6" s="173" t="n">
        <v>2</v>
      </c>
      <c r="J6" s="172" t="n">
        <v>4</v>
      </c>
      <c r="K6" t="n">
        <v>0.5436496286873036</v>
      </c>
    </row>
    <row r="7">
      <c r="A7" t="inlineStr">
        <is>
          <t>NV</t>
        </is>
      </c>
      <c r="B7" t="inlineStr">
        <is>
          <t>Nevada</t>
        </is>
      </c>
      <c r="C7" s="172" t="n">
        <v>171</v>
      </c>
      <c r="D7" s="172" t="n">
        <v>30769519</v>
      </c>
      <c r="E7" s="173" t="n">
        <v>5.56412</v>
      </c>
      <c r="F7" s="173" t="n">
        <v>97.31159148296045</v>
      </c>
      <c r="G7" t="n">
        <v>7.469936144202796</v>
      </c>
      <c r="H7" s="172" t="n">
        <v>5.5574</v>
      </c>
      <c r="I7" s="173" t="n">
        <v>9</v>
      </c>
      <c r="J7" s="172" t="n">
        <v>6</v>
      </c>
      <c r="K7" t="n">
        <v>0.19499816701723</v>
      </c>
    </row>
    <row r="8">
      <c r="A8" t="inlineStr">
        <is>
          <t>MT</t>
        </is>
      </c>
      <c r="B8" t="inlineStr">
        <is>
          <t>Montana</t>
        </is>
      </c>
      <c r="C8" s="172" t="n">
        <v>69</v>
      </c>
      <c r="D8" s="172" t="n">
        <v>10836533</v>
      </c>
      <c r="E8" s="173" t="n">
        <v>6.32845</v>
      </c>
      <c r="F8" s="173" t="n">
        <v>34.2715878134988</v>
      </c>
      <c r="G8" t="n">
        <v>5.932227727974995</v>
      </c>
      <c r="H8" s="172" t="n">
        <v>6.3674</v>
      </c>
      <c r="I8" s="173" t="n">
        <v>6</v>
      </c>
      <c r="J8" s="172" t="n">
        <v>0</v>
      </c>
      <c r="K8" t="n">
        <v>0</v>
      </c>
    </row>
    <row r="9">
      <c r="A9" t="inlineStr">
        <is>
          <t>WV</t>
        </is>
      </c>
      <c r="B9" t="inlineStr">
        <is>
          <t>West Virginia</t>
        </is>
      </c>
      <c r="C9" s="172" t="n">
        <v>100</v>
      </c>
      <c r="D9" s="172" t="n">
        <v>17975547</v>
      </c>
      <c r="E9" s="173" t="n">
        <v>5.56442</v>
      </c>
      <c r="F9" s="173" t="n">
        <v>56.84941276939543</v>
      </c>
      <c r="G9" t="n">
        <v>5.722999643615001</v>
      </c>
      <c r="H9" s="172" t="n">
        <v>5.5631</v>
      </c>
      <c r="I9" s="173" t="n">
        <v>8</v>
      </c>
      <c r="J9" s="172" t="n">
        <v>3</v>
      </c>
      <c r="K9" t="n">
        <v>0.166893363485401</v>
      </c>
    </row>
    <row r="10">
      <c r="A10" t="inlineStr">
        <is>
          <t>TN</t>
        </is>
      </c>
      <c r="B10" t="inlineStr">
        <is>
          <t>Tennessee</t>
        </is>
      </c>
      <c r="C10" s="172" t="n">
        <v>293</v>
      </c>
      <c r="D10" s="172" t="n">
        <v>68908852</v>
      </c>
      <c r="E10" s="173" t="n">
        <v>4.23444</v>
      </c>
      <c r="F10" s="173" t="n">
        <v>217.9309353319362</v>
      </c>
      <c r="G10" t="n">
        <v>5.085124184579778</v>
      </c>
      <c r="H10" s="172" t="n">
        <v>4.252</v>
      </c>
      <c r="I10" s="173" t="n">
        <v>16</v>
      </c>
      <c r="J10" s="172" t="n">
        <v>9</v>
      </c>
      <c r="K10" t="n">
        <v>0.1306073167670045</v>
      </c>
    </row>
    <row r="11">
      <c r="A11" t="inlineStr">
        <is>
          <t>MO</t>
        </is>
      </c>
      <c r="B11" t="inlineStr">
        <is>
          <t>Missouri</t>
        </is>
      </c>
      <c r="C11" s="172" t="n">
        <v>263</v>
      </c>
      <c r="D11" s="172" t="n">
        <v>61480998</v>
      </c>
      <c r="E11" s="173" t="n">
        <v>4.275969999999999</v>
      </c>
      <c r="F11" s="173" t="n">
        <v>194.4396258303781</v>
      </c>
      <c r="G11" t="n">
        <v>4.916780163285186</v>
      </c>
      <c r="H11" s="172" t="n">
        <v>4.2777</v>
      </c>
      <c r="I11" s="173" t="n">
        <v>15</v>
      </c>
      <c r="J11" s="172" t="n">
        <v>12</v>
      </c>
      <c r="K11" t="n">
        <v>0.1951822514272702</v>
      </c>
    </row>
    <row r="12">
      <c r="A12" t="inlineStr">
        <is>
          <t>AR</t>
        </is>
      </c>
      <c r="B12" t="inlineStr">
        <is>
          <t>Arkansas</t>
        </is>
      </c>
      <c r="C12" s="172" t="n">
        <v>143</v>
      </c>
      <c r="D12" s="172" t="n">
        <v>30251739</v>
      </c>
      <c r="E12" s="173" t="n">
        <v>4.72174</v>
      </c>
      <c r="F12" s="173" t="n">
        <v>95.67406195778176</v>
      </c>
      <c r="G12" t="n">
        <v>4.838403954037575</v>
      </c>
      <c r="H12" s="172" t="n">
        <v>4.727</v>
      </c>
      <c r="I12" s="173" t="n">
        <v>11</v>
      </c>
      <c r="J12" s="172" t="n">
        <v>4</v>
      </c>
      <c r="K12" t="n">
        <v>0.1322237993583179</v>
      </c>
    </row>
    <row r="13">
      <c r="A13" t="inlineStr">
        <is>
          <t>MS</t>
        </is>
      </c>
      <c r="B13" t="inlineStr">
        <is>
          <t>Mississippi</t>
        </is>
      </c>
      <c r="C13" s="172" t="n">
        <v>139</v>
      </c>
      <c r="D13" s="172" t="n">
        <v>29661955</v>
      </c>
      <c r="E13" s="173" t="n">
        <v>4.690939999999999</v>
      </c>
      <c r="F13" s="173" t="n">
        <v>93.80881279118975</v>
      </c>
      <c r="G13" t="n">
        <v>4.665862442162758</v>
      </c>
      <c r="H13" s="172" t="n">
        <v>4.6861</v>
      </c>
      <c r="I13" s="173" t="n">
        <v>12</v>
      </c>
      <c r="J13" s="172" t="n">
        <v>7</v>
      </c>
      <c r="K13" t="n">
        <v>0.2359924967871307</v>
      </c>
    </row>
    <row r="14">
      <c r="A14" t="inlineStr">
        <is>
          <t>CA</t>
        </is>
      </c>
      <c r="B14" t="inlineStr">
        <is>
          <t>California</t>
        </is>
      </c>
      <c r="C14" s="172" t="n">
        <v>1405</v>
      </c>
      <c r="D14" s="172" t="n">
        <v>392769993</v>
      </c>
      <c r="E14" s="173" t="n">
        <v>3.57861</v>
      </c>
      <c r="F14" s="173" t="n">
        <v>1242.173239873566</v>
      </c>
      <c r="G14" t="n">
        <v>4.619922571872022</v>
      </c>
      <c r="H14" s="172" t="n">
        <v>3.5772</v>
      </c>
      <c r="I14" s="173" t="n">
        <v>25</v>
      </c>
      <c r="J14" s="172" t="n">
        <v>103</v>
      </c>
      <c r="K14" t="n">
        <v>0.2622399944557883</v>
      </c>
    </row>
    <row r="15">
      <c r="A15" t="inlineStr">
        <is>
          <t>LA</t>
        </is>
      </c>
      <c r="B15" t="inlineStr">
        <is>
          <t>Louisiana</t>
        </is>
      </c>
      <c r="C15" s="172" t="n">
        <v>200</v>
      </c>
      <c r="D15" s="172" t="n">
        <v>46417094</v>
      </c>
      <c r="E15" s="173" t="n">
        <v>4.30884</v>
      </c>
      <c r="F15" s="173" t="n">
        <v>146.7985667619365</v>
      </c>
      <c r="G15" t="n">
        <v>4.390989762416891</v>
      </c>
      <c r="H15" s="172" t="n">
        <v>4.3088</v>
      </c>
      <c r="I15" s="173" t="n">
        <v>14</v>
      </c>
      <c r="J15" s="172" t="n">
        <v>18</v>
      </c>
      <c r="K15" t="n">
        <v>0.3877882047323518</v>
      </c>
    </row>
    <row r="16">
      <c r="A16" t="inlineStr">
        <is>
          <t>ID</t>
        </is>
      </c>
      <c r="B16" t="inlineStr">
        <is>
          <t>Idaho</t>
        </is>
      </c>
      <c r="C16" s="172" t="n">
        <v>90</v>
      </c>
      <c r="D16" s="172" t="n">
        <v>18257258</v>
      </c>
      <c r="E16" s="173" t="n">
        <v>4.89167</v>
      </c>
      <c r="F16" s="173" t="n">
        <v>57.74035116034838</v>
      </c>
      <c r="G16" t="n">
        <v>4.245412802056486</v>
      </c>
      <c r="H16" s="172" t="n">
        <v>4.9295</v>
      </c>
      <c r="I16" s="173" t="n">
        <v>10</v>
      </c>
      <c r="J16" s="172" t="n">
        <v>2</v>
      </c>
      <c r="K16" t="n">
        <v>0.1095454630103312</v>
      </c>
    </row>
    <row r="17">
      <c r="A17" t="inlineStr">
        <is>
          <t>WY</t>
        </is>
      </c>
      <c r="B17" t="inlineStr">
        <is>
          <t>Wyoming</t>
        </is>
      </c>
      <c r="C17" s="172" t="n">
        <v>36</v>
      </c>
      <c r="D17" s="172" t="n">
        <v>5815580</v>
      </c>
      <c r="E17" s="173" t="n">
        <v>6.17868</v>
      </c>
      <c r="F17" s="173" t="n">
        <v>18.39233642867395</v>
      </c>
      <c r="G17" t="n">
        <v>4.10566282566442</v>
      </c>
      <c r="H17" s="172" t="n">
        <v>6.1903</v>
      </c>
      <c r="I17" s="173" t="n">
        <v>7</v>
      </c>
      <c r="J17" s="172" t="n">
        <v>2</v>
      </c>
      <c r="K17" t="n">
        <v>0.3439037894758563</v>
      </c>
    </row>
    <row r="18">
      <c r="A18" t="inlineStr">
        <is>
          <t>AL</t>
        </is>
      </c>
      <c r="B18" t="inlineStr">
        <is>
          <t>Alabama</t>
        </is>
      </c>
      <c r="C18" s="172" t="n">
        <v>200</v>
      </c>
      <c r="D18" s="172" t="n">
        <v>49822017</v>
      </c>
      <c r="E18" s="173" t="n">
        <v>4.00746</v>
      </c>
      <c r="F18" s="173" t="n">
        <v>157.5669663591787</v>
      </c>
      <c r="G18" t="n">
        <v>3.380426478601161</v>
      </c>
      <c r="H18" s="172" t="n">
        <v>4.0143</v>
      </c>
      <c r="I18" s="173" t="n">
        <v>18</v>
      </c>
      <c r="J18" s="172" t="n">
        <v>4</v>
      </c>
      <c r="K18" t="n">
        <v>0.08028578528128727</v>
      </c>
    </row>
    <row r="19">
      <c r="A19" t="inlineStr">
        <is>
          <t>KY</t>
        </is>
      </c>
      <c r="B19" t="inlineStr">
        <is>
          <t>Kentucky</t>
        </is>
      </c>
      <c r="C19" s="172" t="n">
        <v>179</v>
      </c>
      <c r="D19" s="172" t="n">
        <v>44917108</v>
      </c>
      <c r="E19" s="173" t="n">
        <v>3.98492</v>
      </c>
      <c r="F19" s="173" t="n">
        <v>142.0547153919441</v>
      </c>
      <c r="G19" t="n">
        <v>3.09978226599525</v>
      </c>
      <c r="H19" s="172" t="n">
        <v>3.9851</v>
      </c>
      <c r="I19" s="173" t="n">
        <v>19</v>
      </c>
      <c r="J19" s="172" t="n">
        <v>4</v>
      </c>
      <c r="K19" t="n">
        <v>0.08905292437558872</v>
      </c>
    </row>
    <row r="20">
      <c r="A20" t="inlineStr">
        <is>
          <t>GA</t>
        </is>
      </c>
      <c r="B20" t="inlineStr">
        <is>
          <t>Georgia</t>
        </is>
      </c>
      <c r="C20" s="172" t="n">
        <v>393</v>
      </c>
      <c r="D20" s="172" t="n">
        <v>106742723</v>
      </c>
      <c r="E20" s="173" t="n">
        <v>3.66825</v>
      </c>
      <c r="F20" s="173" t="n">
        <v>337.5842259462947</v>
      </c>
      <c r="G20" t="n">
        <v>3.01607634956511</v>
      </c>
      <c r="H20" s="172" t="n">
        <v>3.6817</v>
      </c>
      <c r="I20" s="173" t="n">
        <v>22</v>
      </c>
      <c r="J20" s="172" t="n">
        <v>24</v>
      </c>
      <c r="K20" t="n">
        <v>0.224839689301528</v>
      </c>
    </row>
    <row r="21">
      <c r="A21" t="inlineStr">
        <is>
          <t>UT</t>
        </is>
      </c>
      <c r="B21" t="inlineStr">
        <is>
          <t>Utah</t>
        </is>
      </c>
      <c r="C21" s="172" t="n">
        <v>133</v>
      </c>
      <c r="D21" s="172" t="n">
        <v>32454267</v>
      </c>
      <c r="E21" s="173" t="n">
        <v>4.06339</v>
      </c>
      <c r="F21" s="173" t="n">
        <v>102.6397706178938</v>
      </c>
      <c r="G21" t="n">
        <v>2.996727215968977</v>
      </c>
      <c r="H21" s="172" t="n">
        <v>4.0981</v>
      </c>
      <c r="I21" s="173" t="n">
        <v>17</v>
      </c>
      <c r="J21" s="172" t="n">
        <v>4</v>
      </c>
      <c r="K21" t="n">
        <v>0.1232503457942514</v>
      </c>
    </row>
    <row r="22">
      <c r="A22" t="inlineStr">
        <is>
          <t>OR</t>
        </is>
      </c>
      <c r="B22" t="inlineStr">
        <is>
          <t>Oregon</t>
        </is>
      </c>
      <c r="C22" s="172" t="n">
        <v>166</v>
      </c>
      <c r="D22" s="172" t="n">
        <v>41908931</v>
      </c>
      <c r="E22" s="173" t="n">
        <v>3.95615</v>
      </c>
      <c r="F22" s="173" t="n">
        <v>132.5410635427735</v>
      </c>
      <c r="G22" t="n">
        <v>2.906276341584642</v>
      </c>
      <c r="H22" s="172" t="n">
        <v>3.961</v>
      </c>
      <c r="I22" s="173" t="n">
        <v>20</v>
      </c>
      <c r="J22" s="172" t="n">
        <v>7</v>
      </c>
      <c r="K22" t="n">
        <v>0.167028840869953</v>
      </c>
    </row>
    <row r="23">
      <c r="A23" t="inlineStr">
        <is>
          <t>TX</t>
        </is>
      </c>
      <c r="B23" t="inlineStr">
        <is>
          <t>Texas</t>
        </is>
      </c>
      <c r="C23" s="172" t="n">
        <v>1010</v>
      </c>
      <c r="D23" s="172" t="n">
        <v>292270680</v>
      </c>
      <c r="E23" s="173" t="n">
        <v>3.43776</v>
      </c>
      <c r="F23" s="173" t="n">
        <v>924.3344042721975</v>
      </c>
      <c r="G23" t="n">
        <v>2.81768136889951</v>
      </c>
      <c r="H23" s="172" t="n">
        <v>3.4557</v>
      </c>
      <c r="I23" s="173" t="n">
        <v>27</v>
      </c>
      <c r="J23" s="172" t="n">
        <v>63</v>
      </c>
      <c r="K23" t="n">
        <v>0.2155536094143963</v>
      </c>
    </row>
    <row r="24">
      <c r="A24" t="inlineStr">
        <is>
          <t>WA</t>
        </is>
      </c>
      <c r="B24" t="inlineStr">
        <is>
          <t>Washington</t>
        </is>
      </c>
      <c r="C24" s="172" t="n">
        <v>277</v>
      </c>
      <c r="D24" s="172" t="n">
        <v>76045121</v>
      </c>
      <c r="E24" s="173" t="n">
        <v>3.63727</v>
      </c>
      <c r="F24" s="173" t="n">
        <v>240.5000789588</v>
      </c>
      <c r="G24" t="n">
        <v>2.353608984974314</v>
      </c>
      <c r="H24" s="172" t="n">
        <v>3.6426</v>
      </c>
      <c r="I24" s="173" t="n">
        <v>23</v>
      </c>
      <c r="J24" s="172" t="n">
        <v>13</v>
      </c>
      <c r="K24" t="n">
        <v>0.17095114058601</v>
      </c>
    </row>
    <row r="25">
      <c r="A25" t="inlineStr">
        <is>
          <t>DC</t>
        </is>
      </c>
      <c r="B25" t="inlineStr">
        <is>
          <t>District of Columbia</t>
        </is>
      </c>
      <c r="C25" s="172" t="n">
        <v>30</v>
      </c>
      <c r="D25" s="172" t="n">
        <v>6852382</v>
      </c>
      <c r="E25" s="173" t="n">
        <v>4.40783</v>
      </c>
      <c r="F25" s="173" t="n">
        <v>21.67132342462655</v>
      </c>
      <c r="G25" t="n">
        <v>1.789094500719427</v>
      </c>
      <c r="H25" s="172" t="n">
        <v>4.378</v>
      </c>
      <c r="I25" s="173" t="n">
        <v>13</v>
      </c>
      <c r="J25" s="172" t="n">
        <v>3</v>
      </c>
      <c r="K25" t="n">
        <v>0.4378040914251691</v>
      </c>
    </row>
    <row r="26">
      <c r="A26" t="inlineStr">
        <is>
          <t>SD</t>
        </is>
      </c>
      <c r="B26" t="inlineStr">
        <is>
          <t>South Dakota</t>
        </is>
      </c>
      <c r="C26" s="172" t="n">
        <v>35</v>
      </c>
      <c r="D26" s="172" t="n">
        <v>8891325</v>
      </c>
      <c r="E26" s="173" t="n">
        <v>3.92726</v>
      </c>
      <c r="F26" s="173" t="n">
        <v>28.11967863853294</v>
      </c>
      <c r="G26" t="n">
        <v>1.297488588514405</v>
      </c>
      <c r="H26" s="172" t="n">
        <v>3.9364</v>
      </c>
      <c r="I26" s="173" t="n">
        <v>21</v>
      </c>
      <c r="J26" s="172" t="n">
        <v>1</v>
      </c>
      <c r="K26" t="n">
        <v>0.1124692396629522</v>
      </c>
    </row>
    <row r="27">
      <c r="A27" t="inlineStr">
        <is>
          <t>ME</t>
        </is>
      </c>
      <c r="B27" t="inlineStr">
        <is>
          <t>Maine</t>
        </is>
      </c>
      <c r="C27" s="172" t="n">
        <v>49</v>
      </c>
      <c r="D27" s="172" t="n">
        <v>13623030</v>
      </c>
      <c r="E27" s="173" t="n">
        <v>3.57656</v>
      </c>
      <c r="F27" s="173" t="n">
        <v>43.08415513808048</v>
      </c>
      <c r="G27" t="n">
        <v>0.9012763725445172</v>
      </c>
      <c r="H27" s="172" t="n">
        <v>3.5969</v>
      </c>
      <c r="I27" s="173" t="n">
        <v>24</v>
      </c>
      <c r="J27" s="172" t="n">
        <v>2</v>
      </c>
      <c r="K27" t="n">
        <v>0.1468102176975313</v>
      </c>
    </row>
    <row r="28">
      <c r="A28" t="inlineStr">
        <is>
          <t>KS</t>
        </is>
      </c>
      <c r="B28" t="inlineStr">
        <is>
          <t>Kansas</t>
        </is>
      </c>
      <c r="C28" s="172" t="n">
        <v>99</v>
      </c>
      <c r="D28" s="172" t="n">
        <v>29283521</v>
      </c>
      <c r="E28" s="173" t="n">
        <v>3.37932</v>
      </c>
      <c r="F28" s="173" t="n">
        <v>92.61197852116875</v>
      </c>
      <c r="G28" t="n">
        <v>0.6637931807725728</v>
      </c>
      <c r="H28" s="172" t="n">
        <v>3.3807</v>
      </c>
      <c r="I28" s="173" t="n">
        <v>28</v>
      </c>
      <c r="J28" s="172" t="n">
        <v>7</v>
      </c>
      <c r="K28" t="n">
        <v>0.2390423009255718</v>
      </c>
    </row>
    <row r="29">
      <c r="A29" t="inlineStr">
        <is>
          <t>SC</t>
        </is>
      </c>
      <c r="B29" t="inlineStr">
        <is>
          <t>South Carolina</t>
        </is>
      </c>
      <c r="C29" s="172" t="n">
        <v>171</v>
      </c>
      <c r="D29" s="172" t="n">
        <v>51600453</v>
      </c>
      <c r="E29" s="173" t="n">
        <v>3.3058</v>
      </c>
      <c r="F29" s="173" t="n">
        <v>163.191442890989</v>
      </c>
      <c r="G29" t="n">
        <v>0.6112545427446221</v>
      </c>
      <c r="H29" s="172" t="n">
        <v>3.3139</v>
      </c>
      <c r="I29" s="173" t="n">
        <v>29</v>
      </c>
      <c r="J29" s="172" t="n">
        <v>7</v>
      </c>
      <c r="K29" t="n">
        <v>0.1356577316670688</v>
      </c>
    </row>
    <row r="30">
      <c r="A30" t="inlineStr">
        <is>
          <t>ND</t>
        </is>
      </c>
      <c r="B30" t="inlineStr">
        <is>
          <t>North Dakota</t>
        </is>
      </c>
      <c r="C30" s="172" t="n">
        <v>27</v>
      </c>
      <c r="D30" s="172" t="n">
        <v>7701822</v>
      </c>
      <c r="E30" s="173" t="n">
        <v>3.48154</v>
      </c>
      <c r="F30" s="173" t="n">
        <v>24.35775990318463</v>
      </c>
      <c r="G30" t="n">
        <v>0.5353694758295298</v>
      </c>
      <c r="H30" s="172" t="n">
        <v>3.5057</v>
      </c>
      <c r="I30" s="173" t="n">
        <v>26</v>
      </c>
      <c r="J30" s="172" t="n">
        <v>4</v>
      </c>
      <c r="K30" t="n">
        <v>0.5193577621912743</v>
      </c>
    </row>
    <row r="31">
      <c r="A31" t="inlineStr">
        <is>
          <t>HI</t>
        </is>
      </c>
      <c r="B31" t="inlineStr">
        <is>
          <t>Hawaii</t>
        </is>
      </c>
      <c r="C31" s="172" t="n">
        <v>47</v>
      </c>
      <c r="D31" s="172" t="n">
        <v>14316222</v>
      </c>
      <c r="E31" s="173" t="n">
        <v>3.28938</v>
      </c>
      <c r="F31" s="173" t="n">
        <v>45.27644214533777</v>
      </c>
      <c r="G31" t="n">
        <v>0.2561472630501044</v>
      </c>
      <c r="H31" s="172" t="n">
        <v>3.283</v>
      </c>
      <c r="I31" s="173" t="n">
        <v>30</v>
      </c>
      <c r="J31" s="172" t="n">
        <v>4</v>
      </c>
      <c r="K31" t="n">
        <v>0.2794033620606556</v>
      </c>
    </row>
    <row r="32">
      <c r="A32" t="inlineStr">
        <is>
          <t>IN</t>
        </is>
      </c>
      <c r="B32" t="inlineStr">
        <is>
          <t>Indiana</t>
        </is>
      </c>
      <c r="C32" s="172" t="n">
        <v>214</v>
      </c>
      <c r="D32" s="172" t="n">
        <v>67590651</v>
      </c>
      <c r="E32" s="173" t="n">
        <v>3.15623</v>
      </c>
      <c r="F32" s="173" t="n">
        <v>213.7619966753251</v>
      </c>
      <c r="G32" t="n">
        <v>0.01627862711180437</v>
      </c>
      <c r="H32" s="172" t="n">
        <v>3.1661</v>
      </c>
      <c r="I32" s="173" t="n">
        <v>31</v>
      </c>
      <c r="J32" s="172" t="n">
        <v>5</v>
      </c>
      <c r="K32" t="n">
        <v>0.07397472875316334</v>
      </c>
    </row>
    <row r="33">
      <c r="A33" t="inlineStr">
        <is>
          <t>FL</t>
        </is>
      </c>
      <c r="B33" t="inlineStr">
        <is>
          <t>Florida</t>
        </is>
      </c>
      <c r="C33" s="172" t="n">
        <v>672</v>
      </c>
      <c r="D33" s="172" t="n">
        <v>216545284</v>
      </c>
      <c r="E33" s="173" t="n">
        <v>3.09713</v>
      </c>
      <c r="F33" s="173" t="n">
        <v>684.8454866704174</v>
      </c>
      <c r="G33" t="n">
        <v>-0.4908561806539942</v>
      </c>
      <c r="H33" s="172" t="n">
        <v>3.1033</v>
      </c>
      <c r="I33" s="173" t="n">
        <v>32</v>
      </c>
      <c r="J33" s="172" t="n">
        <v>41</v>
      </c>
      <c r="K33" t="n">
        <v>0.1893368444696648</v>
      </c>
    </row>
    <row r="34">
      <c r="A34" t="inlineStr">
        <is>
          <t>VT</t>
        </is>
      </c>
      <c r="B34" t="inlineStr">
        <is>
          <t>Vermont</t>
        </is>
      </c>
      <c r="C34" s="172" t="n">
        <v>15</v>
      </c>
      <c r="D34" s="172" t="n">
        <v>6353624</v>
      </c>
      <c r="E34" s="173" t="n">
        <v>2.36881</v>
      </c>
      <c r="F34" s="173" t="n">
        <v>20.09395282143777</v>
      </c>
      <c r="G34" t="n">
        <v>-1.13637646125174</v>
      </c>
      <c r="H34" s="172" t="n">
        <v>2.3609</v>
      </c>
      <c r="I34" s="173" t="n">
        <v>38</v>
      </c>
      <c r="J34" s="172" t="n">
        <v>2</v>
      </c>
      <c r="K34" t="n">
        <v>0.3147811798628183</v>
      </c>
    </row>
    <row r="35">
      <c r="A35" t="inlineStr">
        <is>
          <t>NC</t>
        </is>
      </c>
      <c r="B35" t="inlineStr">
        <is>
          <t>North Carolina</t>
        </is>
      </c>
      <c r="C35" s="172" t="n">
        <v>310</v>
      </c>
      <c r="D35" s="172" t="n">
        <v>104969762</v>
      </c>
      <c r="E35" s="173" t="n">
        <v>2.94198</v>
      </c>
      <c r="F35" s="173" t="n">
        <v>331.9770646335936</v>
      </c>
      <c r="G35" t="n">
        <v>-1.206189782105526</v>
      </c>
      <c r="H35" s="172" t="n">
        <v>2.9532</v>
      </c>
      <c r="I35" s="173" t="n">
        <v>33</v>
      </c>
      <c r="J35" s="172" t="n">
        <v>13</v>
      </c>
      <c r="K35" t="n">
        <v>0.1238451912245965</v>
      </c>
    </row>
    <row r="36">
      <c r="A36" t="inlineStr">
        <is>
          <t>NH</t>
        </is>
      </c>
      <c r="B36" t="inlineStr">
        <is>
          <t>New Hampshire</t>
        </is>
      </c>
      <c r="C36" s="172" t="n">
        <v>33</v>
      </c>
      <c r="D36" s="172" t="n">
        <v>13713974</v>
      </c>
      <c r="E36" s="173" t="n">
        <v>2.39377</v>
      </c>
      <c r="F36" s="173" t="n">
        <v>43.37177436852169</v>
      </c>
      <c r="G36" t="n">
        <v>-1.574887244400589</v>
      </c>
      <c r="H36" s="172" t="n">
        <v>2.4063</v>
      </c>
      <c r="I36" s="173" t="n">
        <v>37</v>
      </c>
      <c r="J36" s="172" t="n">
        <v>1</v>
      </c>
      <c r="K36" t="n">
        <v>0.07291834530774094</v>
      </c>
    </row>
    <row r="37">
      <c r="A37" t="inlineStr">
        <is>
          <t>NE</t>
        </is>
      </c>
      <c r="B37" t="inlineStr">
        <is>
          <t>Nebraska</t>
        </is>
      </c>
      <c r="C37" s="172" t="n">
        <v>49</v>
      </c>
      <c r="D37" s="172" t="n">
        <v>19467235</v>
      </c>
      <c r="E37" s="173" t="n">
        <v>2.51886</v>
      </c>
      <c r="F37" s="173" t="n">
        <v>61.5670209086723</v>
      </c>
      <c r="G37" t="n">
        <v>-1.601615517450271</v>
      </c>
      <c r="H37" s="172" t="n">
        <v>2.517</v>
      </c>
      <c r="I37" s="173" t="n">
        <v>36</v>
      </c>
      <c r="J37" s="172" t="n">
        <v>4</v>
      </c>
      <c r="K37" t="n">
        <v>0.2054734004409459</v>
      </c>
    </row>
    <row r="38">
      <c r="A38" t="inlineStr">
        <is>
          <t>WI</t>
        </is>
      </c>
      <c r="B38" t="inlineStr">
        <is>
          <t>Wisconsin</t>
        </is>
      </c>
      <c r="C38" s="172" t="n">
        <v>163</v>
      </c>
      <c r="D38" s="172" t="n">
        <v>58524083</v>
      </c>
      <c r="E38" s="173" t="n">
        <v>2.78461</v>
      </c>
      <c r="F38" s="173" t="n">
        <v>185.0880950336231</v>
      </c>
      <c r="G38" t="n">
        <v>-1.623562528690304</v>
      </c>
      <c r="H38" s="172" t="n">
        <v>2.7852</v>
      </c>
      <c r="I38" s="173" t="n">
        <v>34</v>
      </c>
      <c r="J38" s="172" t="n">
        <v>6</v>
      </c>
      <c r="K38" t="n">
        <v>0.1025219020956844</v>
      </c>
    </row>
    <row r="39">
      <c r="A39" t="inlineStr">
        <is>
          <t>DE</t>
        </is>
      </c>
      <c r="B39" t="inlineStr">
        <is>
          <t>Delaware</t>
        </is>
      </c>
      <c r="C39" s="172" t="n">
        <v>22</v>
      </c>
      <c r="D39" s="172" t="n">
        <v>9889015</v>
      </c>
      <c r="E39" s="173" t="n">
        <v>2.23683</v>
      </c>
      <c r="F39" s="173" t="n">
        <v>31.27497013680546</v>
      </c>
      <c r="G39" t="n">
        <v>-1.65849462412164</v>
      </c>
      <c r="H39" s="172" t="n">
        <v>2.2247</v>
      </c>
      <c r="I39" s="173" t="n">
        <v>40</v>
      </c>
      <c r="J39" s="172" t="n">
        <v>0</v>
      </c>
      <c r="K39" t="n">
        <v>0</v>
      </c>
    </row>
    <row r="40">
      <c r="A40" t="inlineStr">
        <is>
          <t>OH</t>
        </is>
      </c>
      <c r="B40" t="inlineStr">
        <is>
          <t>Ohio</t>
        </is>
      </c>
      <c r="C40" s="172" t="n">
        <v>305</v>
      </c>
      <c r="D40" s="172" t="n">
        <v>117270926</v>
      </c>
      <c r="E40" s="173" t="n">
        <v>2.5995</v>
      </c>
      <c r="F40" s="173" t="n">
        <v>370.8806901967004</v>
      </c>
      <c r="G40" t="n">
        <v>-3.420905120815166</v>
      </c>
      <c r="H40" s="172" t="n">
        <v>2.6008</v>
      </c>
      <c r="I40" s="173" t="n">
        <v>35</v>
      </c>
      <c r="J40" s="172" t="n">
        <v>20</v>
      </c>
      <c r="K40" t="n">
        <v>0.1705452493640154</v>
      </c>
    </row>
    <row r="41">
      <c r="A41" t="inlineStr">
        <is>
          <t>IA</t>
        </is>
      </c>
      <c r="B41" t="inlineStr">
        <is>
          <t>Iowa</t>
        </is>
      </c>
      <c r="C41" s="172" t="n">
        <v>63</v>
      </c>
      <c r="D41" s="172" t="n">
        <v>31734770</v>
      </c>
      <c r="E41" s="173" t="n">
        <v>1.98313</v>
      </c>
      <c r="F41" s="173" t="n">
        <v>100.364291493985</v>
      </c>
      <c r="G41" t="n">
        <v>-3.729641940911616</v>
      </c>
      <c r="H41" s="172" t="n">
        <v>1.9852</v>
      </c>
      <c r="I41" s="173" t="n">
        <v>42</v>
      </c>
      <c r="J41" s="172" t="n">
        <v>2</v>
      </c>
      <c r="K41" t="n">
        <v>0.06302235686598642</v>
      </c>
    </row>
    <row r="42">
      <c r="A42" t="inlineStr">
        <is>
          <t>VA</t>
        </is>
      </c>
      <c r="B42" t="inlineStr">
        <is>
          <t>Virginia</t>
        </is>
      </c>
      <c r="C42" s="172" t="n">
        <v>199</v>
      </c>
      <c r="D42" s="172" t="n">
        <v>85802330</v>
      </c>
      <c r="E42" s="173" t="n">
        <v>2.3136</v>
      </c>
      <c r="F42" s="173" t="n">
        <v>271.3581998225634</v>
      </c>
      <c r="G42" t="n">
        <v>-4.392545601977039</v>
      </c>
      <c r="H42" s="172" t="n">
        <v>2.3193</v>
      </c>
      <c r="I42" s="173" t="n">
        <v>39</v>
      </c>
      <c r="J42" s="172" t="n">
        <v>11</v>
      </c>
      <c r="K42" t="n">
        <v>0.1282016467384977</v>
      </c>
    </row>
    <row r="43">
      <c r="A43" t="inlineStr">
        <is>
          <t>RI</t>
        </is>
      </c>
      <c r="B43" t="inlineStr">
        <is>
          <t>Rhode Island</t>
        </is>
      </c>
      <c r="C43" s="172" t="n">
        <v>8</v>
      </c>
      <c r="D43" s="172" t="n">
        <v>10789897</v>
      </c>
      <c r="E43" s="173" t="n">
        <v>0.7422800000000001</v>
      </c>
      <c r="F43" s="173" t="n">
        <v>34.12409693525663</v>
      </c>
      <c r="G43" t="n">
        <v>-4.472091730173572</v>
      </c>
      <c r="H43" s="172" t="n">
        <v>0.7413999999999999</v>
      </c>
      <c r="I43" s="173" t="n">
        <v>51</v>
      </c>
      <c r="J43" s="172" t="n">
        <v>0</v>
      </c>
      <c r="K43" t="n">
        <v>0</v>
      </c>
    </row>
    <row r="44">
      <c r="A44" t="inlineStr">
        <is>
          <t>MD</t>
        </is>
      </c>
      <c r="B44" t="inlineStr">
        <is>
          <t>Maryland</t>
        </is>
      </c>
      <c r="C44" s="172" t="n">
        <v>129</v>
      </c>
      <c r="D44" s="172" t="n">
        <v>61082155</v>
      </c>
      <c r="E44" s="173" t="n">
        <v>2.11546</v>
      </c>
      <c r="F44" s="173" t="n">
        <v>193.1782461161928</v>
      </c>
      <c r="G44" t="n">
        <v>-4.617519466465651</v>
      </c>
      <c r="H44" s="172" t="n">
        <v>2.1119</v>
      </c>
      <c r="I44" s="173" t="n">
        <v>41</v>
      </c>
      <c r="J44" s="172" t="n">
        <v>10</v>
      </c>
      <c r="K44" t="n">
        <v>0.1637139223629289</v>
      </c>
    </row>
    <row r="45">
      <c r="A45" t="inlineStr">
        <is>
          <t>MN</t>
        </is>
      </c>
      <c r="B45" t="inlineStr">
        <is>
          <t>Minnesota</t>
        </is>
      </c>
      <c r="C45" s="172" t="n">
        <v>107</v>
      </c>
      <c r="D45" s="172" t="n">
        <v>56519472</v>
      </c>
      <c r="E45" s="173" t="n">
        <v>1.89718</v>
      </c>
      <c r="F45" s="173" t="n">
        <v>178.7483181032704</v>
      </c>
      <c r="G45" t="n">
        <v>-5.366495171211798</v>
      </c>
      <c r="H45" s="172" t="n">
        <v>1.8932</v>
      </c>
      <c r="I45" s="173" t="n">
        <v>43</v>
      </c>
      <c r="J45" s="172" t="n">
        <v>8</v>
      </c>
      <c r="K45" t="n">
        <v>0.1415441439914422</v>
      </c>
    </row>
    <row r="46">
      <c r="A46" t="inlineStr">
        <is>
          <t>MI</t>
        </is>
      </c>
      <c r="B46" t="inlineStr">
        <is>
          <t>Michigan</t>
        </is>
      </c>
      <c r="C46" s="172" t="n">
        <v>187</v>
      </c>
      <c r="D46" s="172" t="n">
        <v>100146977</v>
      </c>
      <c r="E46" s="173" t="n">
        <v>1.86556</v>
      </c>
      <c r="F46" s="173" t="n">
        <v>316.7245387903995</v>
      </c>
      <c r="G46" t="n">
        <v>-7.289223709464855</v>
      </c>
      <c r="H46" s="172" t="n">
        <v>1.8673</v>
      </c>
      <c r="I46" s="173" t="n">
        <v>44</v>
      </c>
      <c r="J46" s="172" t="n">
        <v>12</v>
      </c>
      <c r="K46" t="n">
        <v>0.1198238828569768</v>
      </c>
    </row>
    <row r="47">
      <c r="A47" t="inlineStr">
        <is>
          <t>CT</t>
        </is>
      </c>
      <c r="B47" t="inlineStr">
        <is>
          <t>Connecticut</t>
        </is>
      </c>
      <c r="C47" s="172" t="n">
        <v>32</v>
      </c>
      <c r="D47" s="172" t="n">
        <v>35997300</v>
      </c>
      <c r="E47" s="173" t="n">
        <v>0.88888</v>
      </c>
      <c r="F47" s="173" t="n">
        <v>113.8449565002811</v>
      </c>
      <c r="G47" t="n">
        <v>-7.670700469583339</v>
      </c>
      <c r="H47" s="172" t="n">
        <v>0.889</v>
      </c>
      <c r="I47" s="173" t="n">
        <v>49</v>
      </c>
      <c r="J47" s="172" t="n">
        <v>3</v>
      </c>
      <c r="K47" t="n">
        <v>0.08333958380211849</v>
      </c>
    </row>
    <row r="48">
      <c r="A48" t="inlineStr">
        <is>
          <t>PA</t>
        </is>
      </c>
      <c r="B48" t="inlineStr">
        <is>
          <t>Pennsylvania</t>
        </is>
      </c>
      <c r="C48" s="172" t="n">
        <v>227</v>
      </c>
      <c r="D48" s="172" t="n">
        <v>129009766</v>
      </c>
      <c r="E48" s="173" t="n">
        <v>1.75771</v>
      </c>
      <c r="F48" s="173" t="n">
        <v>408.0059115095144</v>
      </c>
      <c r="G48" t="n">
        <v>-8.961063009111427</v>
      </c>
      <c r="H48" s="172" t="n">
        <v>1.7596</v>
      </c>
      <c r="I48" s="173" t="n">
        <v>45</v>
      </c>
      <c r="J48" s="172" t="n">
        <v>14</v>
      </c>
      <c r="K48" t="n">
        <v>0.1085189129474458</v>
      </c>
    </row>
    <row r="49">
      <c r="A49" t="inlineStr">
        <is>
          <t>IL</t>
        </is>
      </c>
      <c r="B49" t="inlineStr">
        <is>
          <t>Illinois</t>
        </is>
      </c>
      <c r="C49" s="172" t="n">
        <v>212</v>
      </c>
      <c r="D49" s="172" t="n">
        <v>127297861</v>
      </c>
      <c r="E49" s="173" t="n">
        <v>1.66586</v>
      </c>
      <c r="F49" s="173" t="n">
        <v>402.5918457252024</v>
      </c>
      <c r="G49" t="n">
        <v>-9.498867478287234</v>
      </c>
      <c r="H49" s="172" t="n">
        <v>1.6654</v>
      </c>
      <c r="I49" s="173" t="n">
        <v>46</v>
      </c>
      <c r="J49" s="172" t="n">
        <v>10</v>
      </c>
      <c r="K49" t="n">
        <v>0.07855591602246888</v>
      </c>
    </row>
    <row r="50">
      <c r="A50" t="inlineStr">
        <is>
          <t>NJ</t>
        </is>
      </c>
      <c r="B50" t="inlineStr">
        <is>
          <t>New Jersey</t>
        </is>
      </c>
      <c r="C50" s="172" t="n">
        <v>108</v>
      </c>
      <c r="D50" s="172" t="n">
        <v>91129572</v>
      </c>
      <c r="E50" s="173" t="n">
        <v>1.19137</v>
      </c>
      <c r="F50" s="173" t="n">
        <v>288.2061199098053</v>
      </c>
      <c r="G50" t="n">
        <v>-10.61494960079817</v>
      </c>
      <c r="H50" s="172" t="n">
        <v>1.1851</v>
      </c>
      <c r="I50" s="173" t="n">
        <v>47</v>
      </c>
      <c r="J50" s="172" t="n">
        <v>3</v>
      </c>
      <c r="K50" t="n">
        <v>0.03292015972422562</v>
      </c>
    </row>
    <row r="51">
      <c r="A51" t="inlineStr">
        <is>
          <t>MA</t>
        </is>
      </c>
      <c r="B51" t="inlineStr">
        <is>
          <t>Massachusetts</t>
        </is>
      </c>
      <c r="C51" s="172" t="n">
        <v>61</v>
      </c>
      <c r="D51" s="172" t="n">
        <v>69472308</v>
      </c>
      <c r="E51" s="173" t="n">
        <v>0.88118</v>
      </c>
      <c r="F51" s="173" t="n">
        <v>219.7129196421434</v>
      </c>
      <c r="G51" t="n">
        <v>-10.70741124778434</v>
      </c>
      <c r="H51" s="172" t="n">
        <v>0.878</v>
      </c>
      <c r="I51" s="173" t="n">
        <v>50</v>
      </c>
      <c r="J51" s="172" t="n">
        <v>2</v>
      </c>
      <c r="K51" t="n">
        <v>0.02878844823210859</v>
      </c>
    </row>
    <row r="52">
      <c r="A52" t="inlineStr">
        <is>
          <t>NY</t>
        </is>
      </c>
      <c r="B52" t="inlineStr">
        <is>
          <t>New York</t>
        </is>
      </c>
      <c r="C52" s="172" t="n">
        <v>199</v>
      </c>
      <c r="D52" s="172" t="n">
        <v>197320172</v>
      </c>
      <c r="E52" s="173" t="n">
        <v>1.00784</v>
      </c>
      <c r="F52" s="173" t="n">
        <v>624.0442032587995</v>
      </c>
      <c r="G52" t="n">
        <v>-17.01478324768281</v>
      </c>
      <c r="H52" s="172" t="n">
        <v>1.0085</v>
      </c>
      <c r="I52" s="173" t="n">
        <v>48</v>
      </c>
      <c r="J52" s="172" t="n">
        <v>5</v>
      </c>
      <c r="K52" t="n">
        <v>0.0253395281384564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style="16" min="1" max="1"/>
    <col width="58" customWidth="1" style="16" min="2" max="2"/>
    <col width="42" customWidth="1" style="16" min="3" max="3"/>
  </cols>
  <sheetData>
    <row r="1">
      <c r="A1" s="6" t="inlineStr">
        <is>
          <t>Source / Artifact</t>
        </is>
      </c>
      <c r="B1" s="6" t="inlineStr">
        <is>
          <t>Plain-text URL or local artifact path</t>
        </is>
      </c>
      <c r="C1" s="6" t="inlineStr">
        <is>
          <t>Notes</t>
        </is>
      </c>
    </row>
    <row r="2">
      <c r="A2" t="inlineStr">
        <is>
          <t>Washington Post Fatal Force database page</t>
        </is>
      </c>
      <c r="B2" t="inlineStr">
        <is>
          <t>https://www.washingtonpost.com/graphics/investigations/police-shootings-database/</t>
        </is>
      </c>
      <c r="C2" t="inlineStr">
        <is>
          <t>Fatal police shootings data source; dataset is bounded through 2024 in this project.</t>
        </is>
      </c>
    </row>
    <row r="3">
      <c r="A3" t="inlineStr">
        <is>
          <t>Washington Post data-police-shootings GitHub repository</t>
        </is>
      </c>
      <c r="B3" t="inlineStr">
        <is>
          <t>https://github.com/washingtonpost/data-police-shootings</t>
        </is>
      </c>
      <c r="C3" t="inlineStr">
        <is>
          <t>Repository containing v1/v2 CSVs and documentation.</t>
        </is>
      </c>
    </row>
    <row r="4">
      <c r="A4" t="inlineStr">
        <is>
          <t>U.S. Census Population Estimates Program</t>
        </is>
      </c>
      <c r="B4" t="inlineStr">
        <is>
          <t>https://www.census.gov/programs-surveys/popest.html</t>
        </is>
      </c>
      <c r="C4" t="inlineStr">
        <is>
          <t>Population denominators used to compute per-capita rates.</t>
        </is>
      </c>
    </row>
    <row r="5">
      <c r="A5" t="inlineStr">
        <is>
          <t>Census 2020s state totals</t>
        </is>
      </c>
      <c r="B5" t="inlineStr">
        <is>
          <t>https://www.census.gov/data/tables/time-series/demo/popest/2020s-state-total.html</t>
        </is>
      </c>
      <c r="C5" t="inlineStr">
        <is>
          <t>Vintage population estimates used for later-year denominators.</t>
        </is>
      </c>
    </row>
    <row r="6">
      <c r="A6" t="inlineStr">
        <is>
          <t>Cleaned package</t>
        </is>
      </c>
      <c r="B6" t="inlineStr">
        <is>
          <t>/mnt/data/police_shootings_cleaned_percapita_package.zip</t>
        </is>
      </c>
      <c r="C6" t="inlineStr">
        <is>
          <t>Cleaned and merged data tables.</t>
        </is>
      </c>
    </row>
    <row r="7">
      <c r="A7" t="inlineStr">
        <is>
          <t>Enhanced prediction package</t>
        </is>
      </c>
      <c r="B7" t="inlineStr">
        <is>
          <t>/mnt/data/police_shootings_enhanced_prediction_package.zip</t>
        </is>
      </c>
      <c r="C7" t="inlineStr">
        <is>
          <t>Forecasting and model evaluation outputs.</t>
        </is>
      </c>
    </row>
    <row r="8">
      <c r="A8" t="inlineStr">
        <is>
          <t>Statistical tests package</t>
        </is>
      </c>
      <c r="B8" t="inlineStr">
        <is>
          <t>/mnt/data/police_shootings_statistical_tests_package.zip</t>
        </is>
      </c>
      <c r="C8" t="inlineStr">
        <is>
          <t>Statistical tests and derived diagnostic tables.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style="16" min="1" max="1"/>
  </cols>
  <sheetData>
    <row r="1">
      <c r="A1" s="30" t="inlineStr">
        <is>
          <t>Fatal Police Shootings Dashboard Workbook</t>
        </is>
      </c>
    </row>
    <row r="2">
      <c r="A2" s="31" t="str"/>
    </row>
    <row r="3">
      <c r="A3" s="32" t="inlineStr">
        <is>
          <t>Purpose</t>
        </is>
      </c>
    </row>
    <row r="4">
      <c r="A4" s="31" t="inlineStr">
        <is>
          <t>This workbook turns the cleaned Washington Post Fatal Force data, Census population denominators, prediction outputs, and statistical tests into a recruiter-ready Excel dashboard.</t>
        </is>
      </c>
    </row>
    <row r="5">
      <c r="A5" s="31" t="str"/>
    </row>
    <row r="6">
      <c r="A6" s="32" t="inlineStr">
        <is>
          <t>Important interpretation limits</t>
        </is>
      </c>
    </row>
    <row r="7">
      <c r="A7" s="31" t="inlineStr">
        <is>
          <t>The data covers fatal police shootings only, not all police killings or all use-of-force incidents.</t>
        </is>
      </c>
    </row>
    <row r="8">
      <c r="A8" s="31" t="inlineStr">
        <is>
          <t>Population-adjusted state rates are useful, but population is an imperfect denominator because it does not measure police encounters, calls for service, arrests, or crime exposure.</t>
        </is>
      </c>
    </row>
    <row r="9">
      <c r="A9" s="31" t="inlineStr">
        <is>
          <t>Race-specific per-capita claims require race/ethnicity-specific population denominators and careful handling of missing race values.</t>
        </is>
      </c>
    </row>
    <row r="10">
      <c r="A10" s="31" t="inlineStr">
        <is>
          <t>Prediction results are exploratory forecasts, not causal findings.</t>
        </is>
      </c>
    </row>
    <row r="11">
      <c r="A11" s="31" t="str"/>
    </row>
    <row r="12">
      <c r="A12" s="32" t="inlineStr">
        <is>
          <t>Dashboard navigation</t>
        </is>
      </c>
    </row>
    <row r="13">
      <c r="A13" s="31" t="inlineStr">
        <is>
          <t>Executive Dashboard: top-line KPIs, national trends, regional/state patterns, model snapshot.</t>
        </is>
      </c>
    </row>
    <row r="14">
      <c r="A14" s="31" t="inlineStr">
        <is>
          <t>State Patterns: observed-vs-expected state variation and unarmed-rate comparisons.</t>
        </is>
      </c>
    </row>
    <row r="15">
      <c r="A15" s="31" t="inlineStr">
        <is>
          <t>Model &amp; Tests: model diagnostics, statistical tests, residuals, and p-value summaries.</t>
        </is>
      </c>
    </row>
    <row r="16">
      <c r="A16" s="31" t="inlineStr">
        <is>
          <t>Data sheets: all supporting tables used in formulas and charts.</t>
        </is>
      </c>
    </row>
    <row r="17">
      <c r="A17" s="31" t="n"/>
    </row>
    <row r="18">
      <c r="A18" s="31" t="n"/>
    </row>
    <row r="19">
      <c r="A19" s="31" t="n"/>
    </row>
    <row r="20">
      <c r="A20" s="3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16" min="1" max="1"/>
    <col width="13" customWidth="1" style="16" min="2" max="2"/>
    <col width="13" customWidth="1" style="16" min="3" max="3"/>
    <col width="13" customWidth="1" style="16" min="4" max="4"/>
    <col width="13" customWidth="1" style="16" min="5" max="5"/>
    <col width="13" customWidth="1" style="16" min="6" max="6"/>
    <col width="13" customWidth="1" style="16" min="7" max="7"/>
    <col width="13" customWidth="1" style="16" min="8" max="8"/>
    <col width="13" customWidth="1" style="16" min="9" max="9"/>
    <col width="13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</cols>
  <sheetData>
    <row r="1" ht="18" customHeight="1" s="16">
      <c r="A1" s="128" t="inlineStr">
        <is>
          <t>Incident Characteristics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</row>
    <row r="2" ht="18" customHeight="1" s="16">
      <c r="A2" s="130" t="inlineStr">
        <is>
          <t>Descriptive views: body camera indication, unarmed status, and race/mental-illness flags</t>
        </is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</row>
    <row r="3" ht="18" customHeight="1" s="16">
      <c r="A3" s="119" t="n"/>
      <c r="B3" s="119" t="n"/>
      <c r="C3" s="119" t="n"/>
      <c r="D3" s="119" t="n"/>
      <c r="E3" s="119" t="n"/>
      <c r="F3" s="119" t="n"/>
      <c r="G3" s="119" t="n"/>
      <c r="H3" s="119" t="n"/>
      <c r="I3" s="119" t="n"/>
      <c r="J3" s="119" t="n"/>
      <c r="K3" s="119" t="n"/>
      <c r="L3" s="119" t="n"/>
      <c r="M3" s="119" t="n"/>
      <c r="N3" s="119" t="n"/>
      <c r="O3" s="119" t="n"/>
      <c r="P3" s="119" t="n"/>
      <c r="Q3" s="119" t="n"/>
    </row>
    <row r="4" ht="18" customHeight="1" s="16">
      <c r="A4" s="134" t="inlineStr">
        <is>
          <t>Body Camera Share by Year</t>
        </is>
      </c>
      <c r="B4" s="17" t="n"/>
      <c r="C4" s="17" t="n"/>
      <c r="D4" s="17" t="n"/>
      <c r="E4" s="17" t="n"/>
      <c r="F4" s="17" t="n"/>
      <c r="G4" s="17" t="n"/>
      <c r="H4" s="17" t="n"/>
      <c r="I4" s="119" t="n"/>
      <c r="J4" s="134" t="inlineStr">
        <is>
          <t>Body Camera Composition</t>
        </is>
      </c>
      <c r="K4" s="17" t="n"/>
      <c r="L4" s="17" t="n"/>
      <c r="M4" s="17" t="n"/>
      <c r="N4" s="17" t="n"/>
      <c r="O4" s="17" t="n"/>
      <c r="P4" s="17" t="n"/>
      <c r="Q4" s="17" t="n"/>
    </row>
    <row r="5" ht="18" customHeight="1" s="16">
      <c r="A5" s="119" t="n"/>
      <c r="B5" s="119" t="n"/>
      <c r="C5" s="119" t="n"/>
      <c r="D5" s="119" t="n"/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19" t="n"/>
      <c r="Q5" s="119" t="n"/>
    </row>
    <row r="6" ht="18" customHeight="1" s="16">
      <c r="A6" s="119" t="n"/>
      <c r="B6" s="119" t="n"/>
      <c r="C6" s="119" t="n"/>
      <c r="D6" s="119" t="n"/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/>
      <c r="Q6" s="119" t="n"/>
    </row>
    <row r="7" ht="18" customHeight="1" s="16">
      <c r="A7" s="119" t="n"/>
      <c r="B7" s="119" t="n"/>
      <c r="C7" s="119" t="n"/>
      <c r="D7" s="119" t="n"/>
      <c r="E7" s="119" t="n"/>
      <c r="F7" s="119" t="n"/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19" t="n"/>
    </row>
    <row r="8" ht="18" customHeight="1" s="16">
      <c r="A8" s="119" t="n"/>
      <c r="B8" s="119" t="n"/>
      <c r="C8" s="119" t="n"/>
      <c r="D8" s="119" t="n"/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</row>
    <row r="9" ht="18" customHeight="1" s="16">
      <c r="A9" s="119" t="n"/>
      <c r="B9" s="119" t="n"/>
      <c r="C9" s="119" t="n"/>
      <c r="D9" s="119" t="n"/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/>
      <c r="Q9" s="119" t="n"/>
    </row>
    <row r="10" ht="18" customHeight="1" s="16">
      <c r="A10" s="119" t="n"/>
      <c r="B10" s="119" t="n"/>
      <c r="C10" s="119" t="n"/>
      <c r="D10" s="119" t="n"/>
      <c r="E10" s="119" t="n"/>
      <c r="F10" s="119" t="n"/>
      <c r="G10" s="119" t="n"/>
      <c r="H10" s="119" t="n"/>
      <c r="I10" s="119" t="n"/>
      <c r="J10" s="119" t="n"/>
      <c r="K10" s="119" t="n"/>
      <c r="L10" s="119" t="n"/>
      <c r="M10" s="119" t="n"/>
      <c r="N10" s="119" t="n"/>
      <c r="O10" s="119" t="n"/>
      <c r="P10" s="119" t="n"/>
      <c r="Q10" s="119" t="n"/>
    </row>
    <row r="11" ht="18" customHeight="1" s="16">
      <c r="A11" s="119" t="n"/>
      <c r="B11" s="119" t="n"/>
      <c r="C11" s="119" t="n"/>
      <c r="D11" s="119" t="n"/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</row>
    <row r="12" ht="18" customHeight="1" s="16">
      <c r="A12" s="119" t="n"/>
      <c r="B12" s="119" t="n"/>
      <c r="C12" s="119" t="n"/>
      <c r="D12" s="119" t="n"/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</row>
    <row r="13" ht="18" customHeight="1" s="16">
      <c r="A13" s="119" t="n"/>
      <c r="B13" s="119" t="n"/>
      <c r="C13" s="119" t="n"/>
      <c r="D13" s="119" t="n"/>
      <c r="E13" s="119" t="n"/>
      <c r="F13" s="119" t="n"/>
      <c r="G13" s="119" t="n"/>
      <c r="H13" s="119" t="n"/>
      <c r="I13" s="119" t="n"/>
      <c r="J13" s="119" t="n"/>
      <c r="K13" s="119" t="n"/>
      <c r="L13" s="119" t="n"/>
      <c r="M13" s="119" t="n"/>
      <c r="N13" s="119" t="n"/>
      <c r="O13" s="119" t="n"/>
      <c r="P13" s="119" t="n"/>
      <c r="Q13" s="119" t="n"/>
    </row>
    <row r="14" ht="18" customHeight="1" s="16">
      <c r="A14" s="119" t="n"/>
      <c r="B14" s="119" t="n"/>
      <c r="C14" s="119" t="n"/>
      <c r="D14" s="119" t="n"/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/>
      <c r="Q14" s="119" t="n"/>
    </row>
    <row r="15" ht="18" customHeight="1" s="16">
      <c r="A15" s="119" t="n"/>
      <c r="B15" s="119" t="n"/>
      <c r="C15" s="119" t="n"/>
      <c r="D15" s="119" t="n"/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/>
      <c r="Q15" s="119" t="n"/>
    </row>
    <row r="16" ht="18" customHeight="1" s="16">
      <c r="A16" s="119" t="n"/>
      <c r="B16" s="119" t="n"/>
      <c r="C16" s="119" t="n"/>
      <c r="D16" s="119" t="n"/>
      <c r="E16" s="119" t="n"/>
      <c r="F16" s="119" t="n"/>
      <c r="G16" s="119" t="n"/>
      <c r="H16" s="119" t="n"/>
      <c r="I16" s="119" t="n"/>
      <c r="J16" s="119" t="n"/>
      <c r="K16" s="119" t="n"/>
      <c r="L16" s="119" t="n"/>
      <c r="M16" s="119" t="n"/>
      <c r="N16" s="119" t="n"/>
      <c r="O16" s="119" t="n"/>
      <c r="P16" s="119" t="n"/>
      <c r="Q16" s="119" t="n"/>
    </row>
    <row r="17" ht="18" customHeight="1" s="16">
      <c r="A17" s="119" t="n"/>
      <c r="B17" s="119" t="n"/>
      <c r="C17" s="119" t="n"/>
      <c r="D17" s="119" t="n"/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/>
      <c r="Q17" s="119" t="n"/>
    </row>
    <row r="18" ht="18" customHeight="1" s="16">
      <c r="A18" s="119" t="n"/>
      <c r="B18" s="119" t="n"/>
      <c r="C18" s="119" t="n"/>
      <c r="D18" s="119" t="n"/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/>
      <c r="Q18" s="119" t="n"/>
    </row>
    <row r="19" ht="18" customHeight="1" s="16">
      <c r="A19" s="119" t="n"/>
      <c r="B19" s="119" t="n"/>
      <c r="C19" s="119" t="n"/>
      <c r="D19" s="119" t="n"/>
      <c r="E19" s="119" t="n"/>
      <c r="F19" s="119" t="n"/>
      <c r="G19" s="119" t="n"/>
      <c r="H19" s="119" t="n"/>
      <c r="I19" s="119" t="n"/>
      <c r="J19" s="119" t="n"/>
      <c r="K19" s="119" t="n"/>
      <c r="L19" s="119" t="n"/>
      <c r="M19" s="119" t="n"/>
      <c r="N19" s="119" t="n"/>
      <c r="O19" s="119" t="n"/>
      <c r="P19" s="119" t="n"/>
      <c r="Q19" s="119" t="n"/>
    </row>
    <row r="20" ht="18" customHeight="1" s="16">
      <c r="A20" s="119" t="n"/>
      <c r="B20" s="119" t="n"/>
      <c r="C20" s="119" t="n"/>
      <c r="D20" s="119" t="n"/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/>
      <c r="Q20" s="119" t="n"/>
    </row>
    <row r="21" ht="18" customHeight="1" s="16">
      <c r="A21" s="119" t="n"/>
      <c r="B21" s="119" t="n"/>
      <c r="C21" s="119" t="n"/>
      <c r="D21" s="119" t="n"/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/>
      <c r="Q21" s="119" t="n"/>
    </row>
    <row r="22" ht="18" customHeight="1" s="16">
      <c r="A22" s="119" t="n"/>
      <c r="B22" s="119" t="n"/>
      <c r="C22" s="119" t="n"/>
      <c r="D22" s="119" t="n"/>
      <c r="E22" s="119" t="n"/>
      <c r="F22" s="119" t="n"/>
      <c r="G22" s="119" t="n"/>
      <c r="H22" s="119" t="n"/>
      <c r="I22" s="119" t="n"/>
      <c r="J22" s="119" t="n"/>
      <c r="K22" s="119" t="n"/>
      <c r="L22" s="119" t="n"/>
      <c r="M22" s="119" t="n"/>
      <c r="N22" s="119" t="n"/>
      <c r="O22" s="119" t="n"/>
      <c r="P22" s="119" t="n"/>
      <c r="Q22" s="119" t="n"/>
    </row>
    <row r="23" ht="18" customHeight="1" s="16">
      <c r="A23" s="119" t="n"/>
      <c r="B23" s="119" t="n"/>
      <c r="C23" s="119" t="n"/>
      <c r="D23" s="119" t="n"/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/>
      <c r="Q23" s="119" t="n"/>
    </row>
    <row r="24" ht="18" customHeight="1" s="16">
      <c r="A24" s="134" t="inlineStr">
        <is>
          <t>Unarmed Share by Race</t>
        </is>
      </c>
      <c r="B24" s="17" t="n"/>
      <c r="C24" s="17" t="n"/>
      <c r="D24" s="17" t="n"/>
      <c r="E24" s="17" t="n"/>
      <c r="F24" s="17" t="n"/>
      <c r="G24" s="17" t="n"/>
      <c r="H24" s="17" t="n"/>
      <c r="I24" s="119" t="n"/>
      <c r="J24" s="134" t="inlineStr">
        <is>
          <t>Unarmed Share by Mental-Illness Flag</t>
        </is>
      </c>
      <c r="K24" s="17" t="n"/>
      <c r="L24" s="17" t="n"/>
      <c r="M24" s="17" t="n"/>
      <c r="N24" s="17" t="n"/>
      <c r="O24" s="17" t="n"/>
      <c r="P24" s="17" t="n"/>
      <c r="Q24" s="17" t="n"/>
    </row>
    <row r="25" ht="18" customHeight="1" s="16">
      <c r="A25" s="119" t="n"/>
      <c r="B25" s="119" t="n"/>
      <c r="C25" s="119" t="n"/>
      <c r="D25" s="119" t="n"/>
      <c r="E25" s="119" t="n"/>
      <c r="F25" s="119" t="n"/>
      <c r="G25" s="119" t="n"/>
      <c r="H25" s="119" t="n"/>
      <c r="I25" s="119" t="n"/>
      <c r="J25" s="119" t="n"/>
      <c r="K25" s="119" t="n"/>
      <c r="L25" s="119" t="n"/>
      <c r="M25" s="119" t="n"/>
      <c r="N25" s="119" t="n"/>
      <c r="O25" s="119" t="n"/>
      <c r="P25" s="119" t="n"/>
      <c r="Q25" s="119" t="n"/>
    </row>
    <row r="26" ht="18" customHeight="1" s="16">
      <c r="A26" s="119" t="n"/>
      <c r="B26" s="119" t="n"/>
      <c r="C26" s="119" t="n"/>
      <c r="D26" s="119" t="n"/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/>
      <c r="Q26" s="119" t="n"/>
    </row>
    <row r="27" ht="18" customHeight="1" s="16">
      <c r="A27" s="119" t="n"/>
      <c r="B27" s="119" t="n"/>
      <c r="C27" s="119" t="n"/>
      <c r="D27" s="119" t="n"/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/>
      <c r="Q27" s="119" t="n"/>
    </row>
    <row r="28" ht="18" customHeight="1" s="16">
      <c r="A28" s="119" t="n"/>
      <c r="B28" s="119" t="n"/>
      <c r="C28" s="119" t="n"/>
      <c r="D28" s="119" t="n"/>
      <c r="E28" s="119" t="n"/>
      <c r="F28" s="119" t="n"/>
      <c r="G28" s="119" t="n"/>
      <c r="H28" s="119" t="n"/>
      <c r="I28" s="119" t="n"/>
      <c r="J28" s="119" t="n"/>
      <c r="K28" s="119" t="n"/>
      <c r="L28" s="119" t="n"/>
      <c r="M28" s="119" t="n"/>
      <c r="N28" s="119" t="n"/>
      <c r="O28" s="119" t="n"/>
      <c r="P28" s="119" t="n"/>
      <c r="Q28" s="119" t="n"/>
    </row>
    <row r="29" ht="18" customHeight="1" s="16">
      <c r="A29" s="119" t="n"/>
      <c r="B29" s="119" t="n"/>
      <c r="C29" s="119" t="n"/>
      <c r="D29" s="119" t="n"/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/>
      <c r="Q29" s="119" t="n"/>
    </row>
    <row r="30" ht="18" customHeight="1" s="16">
      <c r="A30" s="119" t="n"/>
      <c r="B30" s="119" t="n"/>
      <c r="C30" s="119" t="n"/>
      <c r="D30" s="119" t="n"/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/>
      <c r="Q30" s="119" t="n"/>
    </row>
    <row r="31" ht="18" customHeight="1" s="16">
      <c r="A31" s="119" t="n"/>
      <c r="B31" s="119" t="n"/>
      <c r="C31" s="119" t="n"/>
      <c r="D31" s="119" t="n"/>
      <c r="E31" s="119" t="n"/>
      <c r="F31" s="119" t="n"/>
      <c r="G31" s="119" t="n"/>
      <c r="H31" s="119" t="n"/>
      <c r="I31" s="119" t="n"/>
      <c r="J31" s="119" t="n"/>
      <c r="K31" s="119" t="n"/>
      <c r="L31" s="119" t="n"/>
      <c r="M31" s="119" t="n"/>
      <c r="N31" s="119" t="n"/>
      <c r="O31" s="119" t="n"/>
      <c r="P31" s="119" t="n"/>
      <c r="Q31" s="119" t="n"/>
    </row>
    <row r="32" ht="18" customHeight="1" s="16">
      <c r="A32" s="119" t="n"/>
      <c r="B32" s="119" t="n"/>
      <c r="C32" s="119" t="n"/>
      <c r="D32" s="119" t="n"/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/>
      <c r="Q32" s="119" t="n"/>
    </row>
    <row r="33" ht="18" customHeight="1" s="16">
      <c r="A33" s="119" t="n"/>
      <c r="B33" s="119" t="n"/>
      <c r="C33" s="119" t="n"/>
      <c r="D33" s="119" t="n"/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/>
      <c r="Q33" s="119" t="n"/>
    </row>
    <row r="34" ht="18" customHeight="1" s="16">
      <c r="A34" s="119" t="n"/>
      <c r="B34" s="119" t="n"/>
      <c r="C34" s="119" t="n"/>
      <c r="D34" s="119" t="n"/>
      <c r="E34" s="119" t="n"/>
      <c r="F34" s="119" t="n"/>
      <c r="G34" s="119" t="n"/>
      <c r="H34" s="119" t="n"/>
      <c r="I34" s="119" t="n"/>
      <c r="J34" s="119" t="n"/>
      <c r="K34" s="119" t="n"/>
      <c r="L34" s="119" t="n"/>
      <c r="M34" s="119" t="n"/>
      <c r="N34" s="119" t="n"/>
      <c r="O34" s="119" t="n"/>
      <c r="P34" s="119" t="n"/>
      <c r="Q34" s="119" t="n"/>
    </row>
    <row r="35" ht="18" customHeight="1" s="16">
      <c r="A35" s="119" t="n"/>
      <c r="B35" s="119" t="n"/>
      <c r="C35" s="119" t="n"/>
      <c r="D35" s="119" t="n"/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/>
      <c r="Q35" s="119" t="n"/>
    </row>
    <row r="36" ht="18" customHeight="1" s="16">
      <c r="A36" s="119" t="n"/>
      <c r="B36" s="119" t="n"/>
      <c r="C36" s="119" t="n"/>
      <c r="D36" s="119" t="n"/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/>
      <c r="Q36" s="119" t="n"/>
    </row>
    <row r="37" ht="18" customHeight="1" s="16">
      <c r="A37" s="119" t="n"/>
      <c r="B37" s="119" t="n"/>
      <c r="C37" s="119" t="n"/>
      <c r="D37" s="119" t="n"/>
      <c r="E37" s="119" t="n"/>
      <c r="F37" s="119" t="n"/>
      <c r="G37" s="119" t="n"/>
      <c r="H37" s="119" t="n"/>
      <c r="I37" s="119" t="n"/>
      <c r="J37" s="119" t="n"/>
      <c r="K37" s="119" t="n"/>
      <c r="L37" s="119" t="n"/>
      <c r="M37" s="119" t="n"/>
      <c r="N37" s="119" t="n"/>
      <c r="O37" s="119" t="n"/>
      <c r="P37" s="119" t="n"/>
      <c r="Q37" s="119" t="n"/>
    </row>
    <row r="38" ht="18" customHeight="1" s="16">
      <c r="A38" s="119" t="n"/>
      <c r="B38" s="119" t="n"/>
      <c r="C38" s="119" t="n"/>
      <c r="D38" s="119" t="n"/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/>
      <c r="Q38" s="119" t="n"/>
    </row>
    <row r="39" ht="18" customHeight="1" s="16">
      <c r="A39" s="119" t="n"/>
      <c r="B39" s="119" t="n"/>
      <c r="C39" s="119" t="n"/>
      <c r="D39" s="119" t="n"/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/>
      <c r="Q39" s="119" t="n"/>
    </row>
    <row r="40" ht="18" customHeight="1" s="16">
      <c r="A40" s="119" t="n"/>
      <c r="B40" s="119" t="n"/>
      <c r="C40" s="119" t="n"/>
      <c r="D40" s="119" t="n"/>
      <c r="E40" s="119" t="n"/>
      <c r="F40" s="119" t="n"/>
      <c r="G40" s="119" t="n"/>
      <c r="H40" s="119" t="n"/>
      <c r="I40" s="119" t="n"/>
      <c r="J40" s="119" t="n"/>
      <c r="K40" s="119" t="n"/>
      <c r="L40" s="119" t="n"/>
      <c r="M40" s="119" t="n"/>
      <c r="N40" s="119" t="n"/>
      <c r="O40" s="119" t="n"/>
      <c r="P40" s="119" t="n"/>
      <c r="Q40" s="119" t="n"/>
    </row>
    <row r="41" ht="18" customHeight="1" s="16">
      <c r="A41" s="119" t="n"/>
      <c r="B41" s="119" t="n"/>
      <c r="C41" s="119" t="n"/>
      <c r="D41" s="119" t="n"/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/>
      <c r="Q41" s="119" t="n"/>
    </row>
    <row r="42" ht="18" customHeight="1" s="16">
      <c r="A42" s="119" t="n"/>
      <c r="B42" s="119" t="n"/>
      <c r="C42" s="119" t="n"/>
      <c r="D42" s="119" t="n"/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/>
      <c r="Q42" s="119" t="n"/>
    </row>
    <row r="43" ht="18" customHeight="1" s="16">
      <c r="A43" s="119" t="n"/>
      <c r="B43" s="119" t="n"/>
      <c r="C43" s="119" t="n"/>
      <c r="D43" s="119" t="n"/>
      <c r="E43" s="119" t="n"/>
      <c r="F43" s="119" t="n"/>
      <c r="G43" s="119" t="n"/>
      <c r="H43" s="119" t="n"/>
      <c r="I43" s="119" t="n"/>
      <c r="J43" s="119" t="n"/>
      <c r="K43" s="119" t="n"/>
      <c r="L43" s="119" t="n"/>
      <c r="M43" s="119" t="n"/>
      <c r="N43" s="119" t="n"/>
      <c r="O43" s="119" t="n"/>
      <c r="P43" s="119" t="n"/>
      <c r="Q43" s="119" t="n"/>
    </row>
    <row r="44" ht="18" customHeight="1" s="16">
      <c r="A44" s="117" t="inlineStr">
        <is>
          <t>Caution: these are incident-level descriptive comparisons. They are not group-specific per-capita risk estimates. Race-specific per-capita rates require race/ethnicity population denominators and careful missing-data treatment.</t>
        </is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</row>
    <row r="45" ht="18" customHeight="1" s="16">
      <c r="A45" s="17" t="n"/>
      <c r="Q45" s="17" t="n"/>
    </row>
    <row r="46" ht="18" customHeight="1" s="16">
      <c r="A46" s="17" t="n"/>
      <c r="Q46" s="17" t="n"/>
    </row>
    <row r="47" ht="18" customHeight="1" s="16">
      <c r="A47" s="17" t="n"/>
      <c r="Q47" s="17" t="n"/>
    </row>
    <row r="48" ht="18" customHeight="1" s="16">
      <c r="A48" s="17" t="n"/>
      <c r="Q48" s="17" t="n"/>
    </row>
    <row r="49" ht="18" customHeight="1" s="16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</row>
    <row r="50" ht="18" customHeight="1" s="16">
      <c r="A50" s="119" t="n"/>
      <c r="B50" s="119" t="n"/>
      <c r="C50" s="119" t="n"/>
      <c r="D50" s="119" t="n"/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/>
      <c r="Q50" s="119" t="n"/>
    </row>
    <row r="51" ht="18" customHeight="1" s="16">
      <c r="A51" s="119" t="n"/>
      <c r="B51" s="119" t="n"/>
      <c r="C51" s="119" t="n"/>
      <c r="D51" s="119" t="n"/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/>
      <c r="Q51" s="119" t="n"/>
    </row>
    <row r="52" ht="18" customHeight="1" s="16">
      <c r="A52" s="119" t="n"/>
      <c r="B52" s="119" t="n"/>
      <c r="C52" s="119" t="n"/>
      <c r="D52" s="119" t="n"/>
      <c r="E52" s="119" t="n"/>
      <c r="F52" s="119" t="n"/>
      <c r="G52" s="119" t="n"/>
      <c r="H52" s="119" t="n"/>
      <c r="I52" s="119" t="n"/>
      <c r="J52" s="119" t="n"/>
      <c r="K52" s="119" t="n"/>
      <c r="L52" s="119" t="n"/>
      <c r="M52" s="119" t="n"/>
      <c r="N52" s="119" t="n"/>
      <c r="O52" s="119" t="n"/>
      <c r="P52" s="119" t="n"/>
      <c r="Q52" s="119" t="n"/>
    </row>
    <row r="53" ht="18" customHeight="1" s="16">
      <c r="A53" s="119" t="n"/>
      <c r="B53" s="119" t="n"/>
      <c r="C53" s="119" t="n"/>
      <c r="D53" s="119" t="n"/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 t="n"/>
      <c r="P53" s="119" t="n"/>
      <c r="Q53" s="119" t="n"/>
    </row>
    <row r="54" ht="18" customHeight="1" s="16">
      <c r="A54" s="119" t="n"/>
      <c r="B54" s="119" t="n"/>
      <c r="C54" s="119" t="n"/>
      <c r="D54" s="119" t="n"/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/>
      <c r="Q54" s="119" t="n"/>
    </row>
    <row r="55" ht="18" customHeight="1" s="16">
      <c r="A55" s="119" t="n"/>
      <c r="B55" s="119" t="n"/>
      <c r="C55" s="119" t="n"/>
      <c r="D55" s="119" t="n"/>
      <c r="E55" s="119" t="n"/>
      <c r="F55" s="119" t="n"/>
      <c r="G55" s="119" t="n"/>
      <c r="H55" s="119" t="n"/>
      <c r="I55" s="119" t="n"/>
      <c r="J55" s="119" t="n"/>
      <c r="K55" s="119" t="n"/>
      <c r="L55" s="119" t="n"/>
      <c r="M55" s="119" t="n"/>
      <c r="N55" s="119" t="n"/>
      <c r="O55" s="119" t="n"/>
      <c r="P55" s="119" t="n"/>
      <c r="Q55" s="119" t="n"/>
    </row>
    <row r="56" ht="18" customHeight="1" s="16">
      <c r="A56" s="119" t="n"/>
      <c r="B56" s="119" t="n"/>
      <c r="C56" s="119" t="n"/>
      <c r="D56" s="119" t="n"/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/>
      <c r="Q56" s="119" t="n"/>
    </row>
    <row r="57" ht="18" customHeight="1" s="16">
      <c r="A57" s="119" t="n"/>
      <c r="B57" s="119" t="n"/>
      <c r="C57" s="119" t="n"/>
      <c r="D57" s="119" t="n"/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/>
      <c r="Q57" s="119" t="n"/>
    </row>
    <row r="58" ht="18" customHeight="1" s="16">
      <c r="A58" s="119" t="n"/>
      <c r="B58" s="119" t="n"/>
      <c r="C58" s="119" t="n"/>
      <c r="D58" s="119" t="n"/>
      <c r="E58" s="119" t="n"/>
      <c r="F58" s="119" t="n"/>
      <c r="G58" s="119" t="n"/>
      <c r="H58" s="119" t="n"/>
      <c r="I58" s="119" t="n"/>
      <c r="J58" s="119" t="n"/>
      <c r="K58" s="119" t="n"/>
      <c r="L58" s="119" t="n"/>
      <c r="M58" s="119" t="n"/>
      <c r="N58" s="119" t="n"/>
      <c r="O58" s="119" t="n"/>
      <c r="P58" s="119" t="n"/>
      <c r="Q58" s="119" t="n"/>
    </row>
    <row r="59" ht="18" customHeight="1" s="16">
      <c r="A59" s="119" t="n"/>
      <c r="B59" s="119" t="n"/>
      <c r="C59" s="119" t="n"/>
      <c r="D59" s="119" t="n"/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/>
      <c r="Q59" s="119" t="n"/>
    </row>
    <row r="60">
      <c r="A60" s="119" t="n"/>
      <c r="B60" s="119" t="n"/>
      <c r="C60" s="119" t="n"/>
      <c r="D60" s="119" t="n"/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/>
      <c r="Q60" s="119" t="n"/>
    </row>
  </sheetData>
  <mergeCells count="7">
    <mergeCell ref="A44:Q49"/>
    <mergeCell ref="A4:H4"/>
    <mergeCell ref="J4:Q4"/>
    <mergeCell ref="A24:H24"/>
    <mergeCell ref="A2:Q2"/>
    <mergeCell ref="J24:Q24"/>
    <mergeCell ref="A1:Q1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N52"/>
  <sheetViews>
    <sheetView workbookViewId="0">
      <selection activeCell="A1" sqref="A1"/>
    </sheetView>
  </sheetViews>
  <sheetFormatPr baseColWidth="8" defaultRowHeight="15"/>
  <sheetData>
    <row r="1">
      <c r="A1" s="174" t="inlineStr">
        <is>
          <t>Top State</t>
        </is>
      </c>
      <c r="B1" s="174" t="inlineStr">
        <is>
          <t>Annualized rate per 1M</t>
        </is>
      </c>
      <c r="C1" s="174" t="n"/>
      <c r="D1" s="174" t="inlineStr">
        <is>
          <t>Region</t>
        </is>
      </c>
      <c r="E1" s="174" t="inlineStr">
        <is>
          <t>Median annualized rate per 1M</t>
        </is>
      </c>
      <c r="F1" s="174" t="n"/>
      <c r="G1" s="174" t="inlineStr">
        <is>
          <t>State</t>
        </is>
      </c>
      <c r="H1" s="174" t="inlineStr">
        <is>
          <t>Expected</t>
        </is>
      </c>
      <c r="I1" s="174" t="inlineStr">
        <is>
          <t>Observed</t>
        </is>
      </c>
      <c r="J1" s="174" t="inlineStr">
        <is>
          <t>Overall rate</t>
        </is>
      </c>
      <c r="K1" s="174" t="inlineStr">
        <is>
          <t>Unarmed rate</t>
        </is>
      </c>
      <c r="L1" s="174" t="inlineStr">
        <is>
          <t>Std residual</t>
        </is>
      </c>
      <c r="M1" s="174" t="n"/>
      <c r="N1" s="174" t="inlineStr">
        <is>
          <t>Model</t>
        </is>
      </c>
      <c r="O1" s="174" t="inlineStr">
        <is>
          <t>Count MAE</t>
        </is>
      </c>
      <c r="P1" s="174" t="inlineStr">
        <is>
          <t>Count RMSE</t>
        </is>
      </c>
      <c r="Q1" s="174" t="n"/>
      <c r="R1" s="174" t="inlineStr">
        <is>
          <t>State</t>
        </is>
      </c>
      <c r="S1" s="174" t="inlineStr">
        <is>
          <t>2025 ensemble forecast</t>
        </is>
      </c>
      <c r="T1" s="174" t="inlineStr">
        <is>
          <t>2025 forecast rate per 1M</t>
        </is>
      </c>
      <c r="U1" s="174" t="n"/>
      <c r="V1" s="174" t="inlineStr">
        <is>
          <t>Year</t>
        </is>
      </c>
      <c r="W1" s="174" t="inlineStr">
        <is>
          <t>Fatal shootings per 1M</t>
        </is>
      </c>
      <c r="X1" s="174" t="inlineStr">
        <is>
          <t>Unarmed per 1M</t>
        </is>
      </c>
      <c r="Y1" s="174" t="inlineStr">
        <is>
          <t>Body camera per 1M</t>
        </is>
      </c>
      <c r="Z1" s="174" t="inlineStr">
        <is>
          <t>Fatal shootings</t>
        </is>
      </c>
      <c r="AA1" s="174" t="inlineStr">
        <is>
          <t>Body camera count</t>
        </is>
      </c>
      <c r="AB1" s="174" t="inlineStr">
        <is>
          <t>No body camera count</t>
        </is>
      </c>
      <c r="AC1" s="174" t="n"/>
      <c r="AD1" s="174" t="inlineStr">
        <is>
          <t>Year</t>
        </is>
      </c>
      <c r="AE1" s="174" t="inlineStr">
        <is>
          <t>New Mexico</t>
        </is>
      </c>
      <c r="AF1" s="174" t="inlineStr">
        <is>
          <t>Alaska</t>
        </is>
      </c>
      <c r="AG1" s="174" t="inlineStr">
        <is>
          <t>Oklahoma</t>
        </is>
      </c>
      <c r="AH1" s="174" t="inlineStr">
        <is>
          <t>Colorado</t>
        </is>
      </c>
      <c r="AI1" s="174" t="inlineStr">
        <is>
          <t>Arizona</t>
        </is>
      </c>
      <c r="AJ1" s="174" t="inlineStr">
        <is>
          <t>Comparison model</t>
        </is>
      </c>
      <c r="AK1" s="174" t="inlineStr">
        <is>
          <t>MAE difference</t>
        </is>
      </c>
      <c r="AL1" s="174" t="inlineStr">
        <is>
          <t>West Virginia</t>
        </is>
      </c>
      <c r="AM1" s="174" t="inlineStr">
        <is>
          <t>Nevada</t>
        </is>
      </c>
      <c r="AN1" s="174" t="inlineStr">
        <is>
          <t>Idaho</t>
        </is>
      </c>
    </row>
    <row r="2">
      <c r="A2" s="31" t="inlineStr">
        <is>
          <t>New Mexico</t>
        </is>
      </c>
      <c r="B2" s="31" t="n">
        <v>10.4003</v>
      </c>
      <c r="C2" s="31" t="n"/>
      <c r="D2" s="31" t="inlineStr">
        <is>
          <t>West</t>
        </is>
      </c>
      <c r="E2" s="31" t="n">
        <v>5.5574</v>
      </c>
      <c r="F2" s="31" t="n"/>
      <c r="G2" s="31" t="inlineStr">
        <is>
          <t>NM</t>
        </is>
      </c>
      <c r="H2" s="31" t="n">
        <v>66.59481657127863</v>
      </c>
      <c r="I2" s="31" t="n">
        <v>219</v>
      </c>
      <c r="J2" s="31" t="n">
        <v>10.4003</v>
      </c>
      <c r="K2" s="31" t="n">
        <v>0.569881749536971</v>
      </c>
      <c r="L2" s="31" t="n">
        <v>18.67581333312209</v>
      </c>
      <c r="M2" s="31" t="n"/>
      <c r="N2" s="31" t="inlineStr">
        <is>
          <t>ensemble_top4_holdout_mae</t>
        </is>
      </c>
      <c r="O2" s="31" t="n">
        <v>4.03602</v>
      </c>
      <c r="P2" s="31" t="n">
        <v>6.127696</v>
      </c>
      <c r="Q2" s="31" t="n"/>
      <c r="R2" s="31" t="inlineStr">
        <is>
          <t>Wyoming</t>
        </is>
      </c>
      <c r="S2" s="31" t="n">
        <v>7.095538</v>
      </c>
      <c r="T2" s="31" t="n">
        <v>12.051808</v>
      </c>
      <c r="U2" s="31" t="n"/>
      <c r="V2" s="31" t="n">
        <v>2015</v>
      </c>
      <c r="W2" s="31" t="n">
        <v>3.1032</v>
      </c>
      <c r="X2" s="31" t="n">
        <v>0.2932</v>
      </c>
      <c r="Y2" s="31" t="n">
        <v>0.2339</v>
      </c>
      <c r="Z2" s="31" t="n">
        <v>995</v>
      </c>
      <c r="AA2" s="31" t="n">
        <v>75</v>
      </c>
      <c r="AB2" s="31" t="n">
        <v>920</v>
      </c>
      <c r="AC2" s="31" t="n"/>
      <c r="AD2" s="31" t="n">
        <v>2015</v>
      </c>
      <c r="AE2" s="31" t="n">
        <v>9.5726</v>
      </c>
      <c r="AF2" s="31" t="n">
        <v>5.4237</v>
      </c>
      <c r="AG2" s="31" t="n">
        <v>8.1852</v>
      </c>
      <c r="AH2" s="31" t="n">
        <v>5.3205</v>
      </c>
      <c r="AI2" s="31" t="n">
        <v>6.1496</v>
      </c>
      <c r="AJ2" s="31" t="inlineStr">
        <is>
          <t>prev_national_rate_baseline</t>
        </is>
      </c>
      <c r="AK2" s="31" t="n">
        <v>-4.157143333333334</v>
      </c>
      <c r="AL2" s="31" t="n">
        <v>5.4287</v>
      </c>
      <c r="AM2" s="31" t="n">
        <v>6.6273</v>
      </c>
      <c r="AN2" s="31" t="n">
        <v>4.2397</v>
      </c>
    </row>
    <row r="3">
      <c r="A3" s="31" t="inlineStr">
        <is>
          <t>Alaska</t>
        </is>
      </c>
      <c r="B3" s="31" t="n">
        <v>9.378</v>
      </c>
      <c r="C3" s="31" t="n"/>
      <c r="D3" s="31" t="inlineStr">
        <is>
          <t>South</t>
        </is>
      </c>
      <c r="E3" s="31" t="n">
        <v>3.9851</v>
      </c>
      <c r="F3" s="31" t="n"/>
      <c r="G3" s="31" t="inlineStr">
        <is>
          <t>AZ</t>
        </is>
      </c>
      <c r="H3" s="31" t="n">
        <v>227.9939271343572</v>
      </c>
      <c r="I3" s="31" t="n">
        <v>461</v>
      </c>
      <c r="J3" s="31" t="n">
        <v>6.3947</v>
      </c>
      <c r="K3" s="31" t="n">
        <v>0.3745280426484792</v>
      </c>
      <c r="L3" s="31" t="n">
        <v>15.43140965722477</v>
      </c>
      <c r="M3" s="31" t="n"/>
      <c r="N3" s="31" t="inlineStr">
        <is>
          <t>roll3_baseline</t>
        </is>
      </c>
      <c r="O3" s="31" t="n">
        <v>4.117647</v>
      </c>
      <c r="P3" s="31" t="n">
        <v>6.692922</v>
      </c>
      <c r="Q3" s="31" t="n"/>
      <c r="R3" s="31" t="inlineStr">
        <is>
          <t>New Mexico</t>
        </is>
      </c>
      <c r="S3" s="31" t="n">
        <v>25.035374</v>
      </c>
      <c r="T3" s="31" t="n">
        <v>11.778592</v>
      </c>
      <c r="U3" s="31" t="n"/>
      <c r="V3" s="31" t="n">
        <v>2016</v>
      </c>
      <c r="W3" s="31" t="n">
        <v>2.9696</v>
      </c>
      <c r="X3" s="31" t="n">
        <v>0.1982</v>
      </c>
      <c r="Y3" s="31" t="n">
        <v>0.449</v>
      </c>
      <c r="Z3" s="31" t="n">
        <v>959</v>
      </c>
      <c r="AA3" s="31" t="n">
        <v>145</v>
      </c>
      <c r="AB3" s="31" t="n">
        <v>814</v>
      </c>
      <c r="AC3" s="31" t="n"/>
      <c r="AD3" s="31" t="n">
        <v>2016</v>
      </c>
      <c r="AE3" s="31" t="n">
        <v>10.04</v>
      </c>
      <c r="AF3" s="31" t="n">
        <v>10.7896</v>
      </c>
      <c r="AG3" s="31" t="n">
        <v>6.622</v>
      </c>
      <c r="AH3" s="31" t="n">
        <v>5.5965</v>
      </c>
      <c r="AI3" s="31" t="n">
        <v>7.0594</v>
      </c>
      <c r="AJ3" s="31" t="inlineStr">
        <is>
          <t>poisson_enhanced_lagged</t>
        </is>
      </c>
      <c r="AK3" s="31" t="n">
        <v>-1.031737843137255</v>
      </c>
      <c r="AL3" s="31" t="n">
        <v>6.5537</v>
      </c>
      <c r="AM3" s="31" t="n">
        <v>4.4558</v>
      </c>
      <c r="AN3" s="31" t="n">
        <v>3.5664</v>
      </c>
    </row>
    <row r="4">
      <c r="A4" s="31" t="inlineStr">
        <is>
          <t>Oklahoma</t>
        </is>
      </c>
      <c r="B4" s="31" t="n">
        <v>6.682</v>
      </c>
      <c r="C4" s="31" t="n"/>
      <c r="D4" s="31" t="inlineStr">
        <is>
          <t>Midwest</t>
        </is>
      </c>
      <c r="E4" s="31" t="n">
        <v>2.693</v>
      </c>
      <c r="F4" s="31" t="n"/>
      <c r="G4" s="31" t="inlineStr">
        <is>
          <t>CO</t>
        </is>
      </c>
      <c r="H4" s="31" t="n">
        <v>181.5554772382368</v>
      </c>
      <c r="I4" s="31" t="n">
        <v>375</v>
      </c>
      <c r="J4" s="31" t="n">
        <v>6.5323</v>
      </c>
      <c r="K4" s="31" t="n">
        <v>0.2961307211584355</v>
      </c>
      <c r="L4" s="31" t="n">
        <v>14.35660527099007</v>
      </c>
      <c r="M4" s="31" t="n"/>
      <c r="N4" s="31" t="inlineStr">
        <is>
          <t>lag1_baseline</t>
        </is>
      </c>
      <c r="O4" s="31" t="n">
        <v>4.215686</v>
      </c>
      <c r="P4" s="31" t="n">
        <v>6.282562</v>
      </c>
      <c r="Q4" s="31" t="n"/>
      <c r="R4" s="31" t="inlineStr">
        <is>
          <t>Alaska</t>
        </is>
      </c>
      <c r="S4" s="31" t="n">
        <v>6.749682</v>
      </c>
      <c r="T4" s="31" t="n">
        <v>9.154966</v>
      </c>
      <c r="U4" s="31" t="n"/>
      <c r="V4" s="31" t="n">
        <v>2017</v>
      </c>
      <c r="W4" s="31" t="n">
        <v>3.0278</v>
      </c>
      <c r="X4" s="31" t="n">
        <v>0.2123</v>
      </c>
      <c r="Y4" s="31" t="n">
        <v>0.3416</v>
      </c>
      <c r="Z4" s="31" t="n">
        <v>984</v>
      </c>
      <c r="AA4" s="31" t="n">
        <v>111</v>
      </c>
      <c r="AB4" s="31" t="n">
        <v>873</v>
      </c>
      <c r="AC4" s="31" t="n"/>
      <c r="AD4" s="31" t="n">
        <v>2017</v>
      </c>
      <c r="AE4" s="31" t="n">
        <v>10.0393</v>
      </c>
      <c r="AF4" s="31" t="n">
        <v>10.8152</v>
      </c>
      <c r="AG4" s="31" t="n">
        <v>6.6136</v>
      </c>
      <c r="AH4" s="31" t="n">
        <v>5.524</v>
      </c>
      <c r="AI4" s="31" t="n">
        <v>6.2464</v>
      </c>
      <c r="AJ4" s="31" t="inlineStr">
        <is>
          <t>ridge_enhanced_lagged</t>
        </is>
      </c>
      <c r="AK4" s="31" t="n">
        <v>-0.6795826176470591</v>
      </c>
      <c r="AL4" s="31" t="n">
        <v>6.0539</v>
      </c>
      <c r="AM4" s="31" t="n">
        <v>5.3874</v>
      </c>
      <c r="AN4" s="31" t="n">
        <v>3.493</v>
      </c>
    </row>
    <row r="5">
      <c r="A5" s="31" t="inlineStr">
        <is>
          <t>Colorado</t>
        </is>
      </c>
      <c r="B5" s="31" t="n">
        <v>6.5323</v>
      </c>
      <c r="C5" s="31" t="n"/>
      <c r="D5" s="31" t="inlineStr">
        <is>
          <t>Northeast</t>
        </is>
      </c>
      <c r="E5" s="31" t="n">
        <v>1.1851</v>
      </c>
      <c r="F5" s="31" t="n"/>
      <c r="G5" s="31" t="inlineStr">
        <is>
          <t>OK</t>
        </is>
      </c>
      <c r="H5" s="31" t="n">
        <v>125.8971617877274</v>
      </c>
      <c r="I5" s="31" t="n">
        <v>266</v>
      </c>
      <c r="J5" s="31" t="n">
        <v>6.682</v>
      </c>
      <c r="K5" s="31" t="n">
        <v>0.5024095562316871</v>
      </c>
      <c r="L5" s="31" t="n">
        <v>12.48644945748507</v>
      </c>
      <c r="M5" s="31" t="n"/>
      <c r="N5" s="31" t="inlineStr">
        <is>
          <t>random_forest_enhanced_lagged</t>
        </is>
      </c>
      <c r="O5" s="31" t="n">
        <v>4.683044</v>
      </c>
      <c r="P5" s="31" t="n">
        <v>7.654449</v>
      </c>
      <c r="Q5" s="31" t="n"/>
      <c r="R5" s="31" t="inlineStr">
        <is>
          <t>Montana</t>
        </is>
      </c>
      <c r="S5" s="31" t="n">
        <v>10.03385</v>
      </c>
      <c r="T5" s="31" t="n">
        <v>8.765530999999999</v>
      </c>
      <c r="U5" s="31" t="n"/>
      <c r="V5" s="31" t="n">
        <v>2018</v>
      </c>
      <c r="W5" s="31" t="n">
        <v>3.0365</v>
      </c>
      <c r="X5" s="31" t="n">
        <v>0.1806</v>
      </c>
      <c r="Y5" s="31" t="n">
        <v>0.3826</v>
      </c>
      <c r="Z5" s="31" t="n">
        <v>992</v>
      </c>
      <c r="AA5" s="31" t="n">
        <v>125</v>
      </c>
      <c r="AB5" s="31" t="n">
        <v>867</v>
      </c>
      <c r="AC5" s="31" t="n"/>
      <c r="AD5" s="31" t="n">
        <v>2018</v>
      </c>
      <c r="AE5" s="31" t="n">
        <v>9.556800000000001</v>
      </c>
      <c r="AF5" s="31" t="n">
        <v>9.522</v>
      </c>
      <c r="AG5" s="31" t="n">
        <v>8.3751</v>
      </c>
      <c r="AH5" s="31" t="n">
        <v>8.0825</v>
      </c>
      <c r="AI5" s="31" t="n">
        <v>8.5219</v>
      </c>
      <c r="AJ5" s="31" t="inlineStr">
        <is>
          <t>random_forest_enhanced_lagged</t>
        </is>
      </c>
      <c r="AK5" s="31" t="n">
        <v>-0.6470240686274511</v>
      </c>
      <c r="AL5" s="31" t="n">
        <v>3.8796</v>
      </c>
      <c r="AM5" s="31" t="n">
        <v>7.5974</v>
      </c>
      <c r="AN5" s="31" t="n">
        <v>7.4263</v>
      </c>
    </row>
    <row r="6">
      <c r="A6" s="31" t="inlineStr">
        <is>
          <t>Arizona</t>
        </is>
      </c>
      <c r="B6" s="31" t="n">
        <v>6.3947</v>
      </c>
      <c r="C6" s="31" t="n"/>
      <c r="D6" s="31" t="n"/>
      <c r="E6" s="31" t="n"/>
      <c r="F6" s="31" t="n"/>
      <c r="G6" s="31" t="inlineStr">
        <is>
          <t>AK</t>
        </is>
      </c>
      <c r="H6" s="31" t="n">
        <v>23.2693900632218</v>
      </c>
      <c r="I6" s="31" t="n">
        <v>69</v>
      </c>
      <c r="J6" s="31" t="n">
        <v>9.378</v>
      </c>
      <c r="K6" s="31" t="n">
        <v>0.5436496286873036</v>
      </c>
      <c r="L6" s="31" t="n">
        <v>9.480134391870784</v>
      </c>
      <c r="M6" s="31" t="n"/>
      <c r="N6" s="31" t="inlineStr">
        <is>
          <t>ridge_enhanced_lagged</t>
        </is>
      </c>
      <c r="O6" s="31" t="n">
        <v>4.715602</v>
      </c>
      <c r="P6" s="31" t="n">
        <v>6.831324</v>
      </c>
      <c r="Q6" s="31" t="n"/>
      <c r="R6" s="31" t="inlineStr">
        <is>
          <t>Colorado</t>
        </is>
      </c>
      <c r="S6" s="31" t="n">
        <v>38.685216</v>
      </c>
      <c r="T6" s="31" t="n">
        <v>6.434066</v>
      </c>
      <c r="U6" s="31" t="n"/>
      <c r="V6" s="31" t="n">
        <v>2019</v>
      </c>
      <c r="W6" s="31" t="n">
        <v>3.0252</v>
      </c>
      <c r="X6" s="31" t="n">
        <v>0.1645</v>
      </c>
      <c r="Y6" s="31" t="n">
        <v>0.4204</v>
      </c>
      <c r="Z6" s="31" t="n">
        <v>993</v>
      </c>
      <c r="AA6" s="31" t="n">
        <v>138</v>
      </c>
      <c r="AB6" s="31" t="n">
        <v>855</v>
      </c>
      <c r="AC6" s="31" t="n"/>
      <c r="AD6" s="31" t="n">
        <v>2019</v>
      </c>
      <c r="AE6" s="31" t="n">
        <v>8.5844</v>
      </c>
      <c r="AF6" s="31" t="n">
        <v>9.5688</v>
      </c>
      <c r="AG6" s="31" t="n">
        <v>8.5924</v>
      </c>
      <c r="AH6" s="31" t="n">
        <v>6.2514</v>
      </c>
      <c r="AI6" s="31" t="n">
        <v>4.8085</v>
      </c>
      <c r="AJ6" s="31" t="inlineStr">
        <is>
          <t>lag1_baseline</t>
        </is>
      </c>
      <c r="AK6" s="31" t="n">
        <v>-0.1796665294117647</v>
      </c>
      <c r="AL6" s="31" t="n">
        <v>7.2539</v>
      </c>
      <c r="AM6" s="31" t="n">
        <v>3.5712</v>
      </c>
      <c r="AN6" s="31" t="n">
        <v>3.917</v>
      </c>
    </row>
    <row r="7">
      <c r="A7" s="31" t="inlineStr">
        <is>
          <t>Montana</t>
        </is>
      </c>
      <c r="B7" s="31" t="n">
        <v>6.3674</v>
      </c>
      <c r="C7" s="31" t="n"/>
      <c r="D7" s="31" t="n"/>
      <c r="E7" s="31" t="n"/>
      <c r="F7" s="31" t="n"/>
      <c r="G7" s="31" t="inlineStr">
        <is>
          <t>NV</t>
        </is>
      </c>
      <c r="H7" s="31" t="n">
        <v>97.31159148296045</v>
      </c>
      <c r="I7" s="31" t="n">
        <v>171</v>
      </c>
      <c r="J7" s="31" t="n">
        <v>5.5574</v>
      </c>
      <c r="K7" s="31" t="n">
        <v>0.19499816701723</v>
      </c>
      <c r="L7" s="31" t="n">
        <v>7.469936144202796</v>
      </c>
      <c r="M7" s="31" t="n"/>
      <c r="N7" s="31" t="inlineStr">
        <is>
          <t>poisson_enhanced_lagged</t>
        </is>
      </c>
      <c r="O7" s="31" t="n">
        <v>5.067758</v>
      </c>
      <c r="P7" s="31" t="n">
        <v>7.691081</v>
      </c>
      <c r="Q7" s="31" t="n"/>
      <c r="R7" s="31" t="inlineStr">
        <is>
          <t>Arizona</t>
        </is>
      </c>
      <c r="S7" s="31" t="n">
        <v>47.028476</v>
      </c>
      <c r="T7" s="31" t="n">
        <v>6.168625</v>
      </c>
      <c r="U7" s="31" t="n"/>
      <c r="V7" s="31" t="n">
        <v>2020</v>
      </c>
      <c r="W7" s="31" t="n">
        <v>3.0792</v>
      </c>
      <c r="X7" s="31" t="n">
        <v>0.184</v>
      </c>
      <c r="Y7" s="31" t="n">
        <v>0.5459000000000001</v>
      </c>
      <c r="Z7" s="31" t="n">
        <v>1021</v>
      </c>
      <c r="AA7" s="31" t="n">
        <v>181</v>
      </c>
      <c r="AB7" s="31" t="n">
        <v>840</v>
      </c>
      <c r="AC7" s="31" t="n"/>
      <c r="AD7" s="31" t="n">
        <v>2020</v>
      </c>
      <c r="AE7" s="31" t="n">
        <v>7.5527</v>
      </c>
      <c r="AF7" s="31" t="n">
        <v>12.2799</v>
      </c>
      <c r="AG7" s="31" t="n">
        <v>7.0614</v>
      </c>
      <c r="AH7" s="31" t="n">
        <v>7.2578</v>
      </c>
      <c r="AI7" s="31" t="n">
        <v>6.2616</v>
      </c>
      <c r="AJ7" s="31" t="inlineStr">
        <is>
          <t>roll3_baseline</t>
        </is>
      </c>
      <c r="AK7" s="31" t="n">
        <v>-0.08162729411764716</v>
      </c>
      <c r="AL7" s="31" t="n">
        <v>3.3488</v>
      </c>
      <c r="AM7" s="31" t="n">
        <v>8.020899999999999</v>
      </c>
      <c r="AN7" s="31" t="n">
        <v>3.2444</v>
      </c>
    </row>
    <row r="8">
      <c r="A8" s="31" t="inlineStr">
        <is>
          <t>Wyoming</t>
        </is>
      </c>
      <c r="B8" s="31" t="n">
        <v>6.1903</v>
      </c>
      <c r="C8" s="31" t="n"/>
      <c r="D8" s="31" t="n"/>
      <c r="E8" s="31" t="n"/>
      <c r="F8" s="31" t="n"/>
      <c r="G8" s="31" t="inlineStr">
        <is>
          <t>MT</t>
        </is>
      </c>
      <c r="H8" s="31" t="n">
        <v>34.2715878134988</v>
      </c>
      <c r="I8" s="31" t="n">
        <v>69</v>
      </c>
      <c r="J8" s="31" t="n">
        <v>6.3674</v>
      </c>
      <c r="K8" s="31" t="n">
        <v>0</v>
      </c>
      <c r="L8" s="31" t="n">
        <v>5.932227727974995</v>
      </c>
      <c r="M8" s="31" t="n"/>
      <c r="N8" s="31" t="inlineStr">
        <is>
          <t>prev_national_rate_baseline</t>
        </is>
      </c>
      <c r="O8" s="31" t="n">
        <v>8.193163</v>
      </c>
      <c r="P8" s="31" t="n">
        <v>11.932821</v>
      </c>
      <c r="Q8" s="31" t="n"/>
      <c r="R8" s="31" t="inlineStr">
        <is>
          <t>West Virginia</t>
        </is>
      </c>
      <c r="S8" s="31" t="n">
        <v>10.653577</v>
      </c>
      <c r="T8" s="31" t="n">
        <v>6.032101</v>
      </c>
      <c r="U8" s="31" t="n"/>
      <c r="V8" s="31" t="n">
        <v>2021</v>
      </c>
      <c r="W8" s="31" t="n">
        <v>3.1617</v>
      </c>
      <c r="X8" s="31" t="n">
        <v>0.0994</v>
      </c>
      <c r="Y8" s="31" t="n">
        <v>0.6775</v>
      </c>
      <c r="Z8" s="31" t="n">
        <v>1050</v>
      </c>
      <c r="AA8" s="31" t="n">
        <v>225</v>
      </c>
      <c r="AB8" s="31" t="n">
        <v>825</v>
      </c>
      <c r="AC8" s="31" t="n"/>
      <c r="AD8" s="31" t="n">
        <v>2021</v>
      </c>
      <c r="AE8" s="31" t="n">
        <v>12.2798</v>
      </c>
      <c r="AF8" s="31" t="n">
        <v>9.5291</v>
      </c>
      <c r="AG8" s="31" t="n">
        <v>4.5082</v>
      </c>
      <c r="AH8" s="31" t="n">
        <v>7.0515</v>
      </c>
      <c r="AI8" s="31" t="n">
        <v>5.0866</v>
      </c>
      <c r="AJ8" s="31" t="n">
        <v>6.3267</v>
      </c>
      <c r="AK8" s="31" t="n">
        <v>5.1754</v>
      </c>
      <c r="AL8" s="31" t="n">
        <v>3.3596</v>
      </c>
      <c r="AM8" s="31" t="n">
        <v>3.8114</v>
      </c>
      <c r="AN8" s="31" t="n">
        <v>6.8247</v>
      </c>
    </row>
    <row r="9">
      <c r="A9" s="31" t="inlineStr">
        <is>
          <t>West Virginia</t>
        </is>
      </c>
      <c r="B9" s="31" t="n">
        <v>5.5631</v>
      </c>
      <c r="C9" s="31" t="n"/>
      <c r="D9" s="31" t="n"/>
      <c r="E9" s="31" t="n"/>
      <c r="F9" s="31" t="n"/>
      <c r="G9" s="31" t="inlineStr">
        <is>
          <t>WV</t>
        </is>
      </c>
      <c r="H9" s="31" t="n">
        <v>56.84941276939543</v>
      </c>
      <c r="I9" s="31" t="n">
        <v>100</v>
      </c>
      <c r="J9" s="31" t="n">
        <v>5.5631</v>
      </c>
      <c r="K9" s="31" t="n">
        <v>0.166893363485401</v>
      </c>
      <c r="L9" s="31" t="n">
        <v>5.722999643615001</v>
      </c>
      <c r="M9" s="31" t="n"/>
      <c r="N9" s="31" t="n"/>
      <c r="O9" s="31" t="n"/>
      <c r="P9" s="31" t="n"/>
      <c r="Q9" s="31" t="n"/>
      <c r="R9" s="31" t="inlineStr">
        <is>
          <t>Idaho</t>
        </is>
      </c>
      <c r="S9" s="31" t="n">
        <v>11.70072</v>
      </c>
      <c r="T9" s="31" t="n">
        <v>5.76466</v>
      </c>
      <c r="U9" s="31" t="n"/>
      <c r="V9" s="31" t="n">
        <v>2022</v>
      </c>
      <c r="W9" s="31" t="n">
        <v>3.2845</v>
      </c>
      <c r="X9" s="31" t="n">
        <v>0.1527</v>
      </c>
      <c r="Y9" s="31" t="n">
        <v>0.6258</v>
      </c>
      <c r="Z9" s="31" t="n">
        <v>1097</v>
      </c>
      <c r="AA9" s="31" t="n">
        <v>209</v>
      </c>
      <c r="AB9" s="31" t="n">
        <v>888</v>
      </c>
      <c r="AC9" s="31" t="n"/>
      <c r="AD9" s="31" t="n">
        <v>2022</v>
      </c>
      <c r="AE9" s="31" t="n">
        <v>14.1988</v>
      </c>
      <c r="AF9" s="31" t="n">
        <v>6.8152</v>
      </c>
      <c r="AG9" s="31" t="n">
        <v>6.956</v>
      </c>
      <c r="AH9" s="31" t="n">
        <v>6.8337</v>
      </c>
      <c r="AI9" s="31" t="n">
        <v>7.0556</v>
      </c>
      <c r="AJ9" s="31" t="n">
        <v>6.2415</v>
      </c>
      <c r="AK9" s="31" t="n">
        <v>17.1898</v>
      </c>
      <c r="AL9" s="31" t="n">
        <v>6.7644</v>
      </c>
      <c r="AM9" s="31" t="n">
        <v>4.7204</v>
      </c>
      <c r="AN9" s="31" t="n">
        <v>3.6028</v>
      </c>
    </row>
    <row r="10">
      <c r="A10" s="31" t="inlineStr">
        <is>
          <t>Nevada</t>
        </is>
      </c>
      <c r="B10" s="31" t="n">
        <v>5.5574</v>
      </c>
      <c r="C10" s="31" t="n"/>
      <c r="D10" s="31" t="n"/>
      <c r="E10" s="31" t="n"/>
      <c r="F10" s="31" t="n"/>
      <c r="G10" s="31" t="inlineStr">
        <is>
          <t>TN</t>
        </is>
      </c>
      <c r="H10" s="31" t="n">
        <v>217.9309353319362</v>
      </c>
      <c r="I10" s="31" t="n">
        <v>293</v>
      </c>
      <c r="J10" s="31" t="n">
        <v>4.252</v>
      </c>
      <c r="K10" s="31" t="n">
        <v>0.1306073167670045</v>
      </c>
      <c r="L10" s="31" t="n">
        <v>5.085124184579778</v>
      </c>
      <c r="M10" s="31" t="n"/>
      <c r="N10" s="31" t="n"/>
      <c r="O10" s="31" t="n"/>
      <c r="P10" s="31" t="n"/>
      <c r="Q10" s="31" t="n"/>
      <c r="R10" s="31" t="inlineStr">
        <is>
          <t>Mississippi</t>
        </is>
      </c>
      <c r="S10" s="31" t="n">
        <v>16.784492</v>
      </c>
      <c r="T10" s="31" t="n">
        <v>5.681646</v>
      </c>
      <c r="U10" s="31" t="n"/>
      <c r="V10" s="31" t="n">
        <v>2023</v>
      </c>
      <c r="W10" s="31" t="n">
        <v>3.4565</v>
      </c>
      <c r="X10" s="31" t="n">
        <v>0.1514</v>
      </c>
      <c r="Y10" s="31" t="n">
        <v>1.0482</v>
      </c>
      <c r="Z10" s="31" t="n">
        <v>1164</v>
      </c>
      <c r="AA10" s="31" t="n">
        <v>353</v>
      </c>
      <c r="AB10" s="31" t="n">
        <v>811</v>
      </c>
      <c r="AC10" s="31" t="n"/>
      <c r="AD10" s="31" t="n">
        <v>2023</v>
      </c>
      <c r="AE10" s="31" t="n">
        <v>10.3805</v>
      </c>
      <c r="AF10" s="31" t="n">
        <v>8.1671</v>
      </c>
      <c r="AG10" s="31" t="n">
        <v>5.9074</v>
      </c>
      <c r="AH10" s="31" t="n">
        <v>6.9348</v>
      </c>
      <c r="AI10" s="31" t="n">
        <v>6.4412</v>
      </c>
      <c r="AJ10" s="31" t="n">
        <v>6.1913</v>
      </c>
      <c r="AK10" s="31" t="n">
        <v>1.7104</v>
      </c>
      <c r="AL10" s="31" t="n">
        <v>7.9094</v>
      </c>
      <c r="AM10" s="31" t="n">
        <v>5.917</v>
      </c>
      <c r="AN10" s="31" t="n">
        <v>7.1048</v>
      </c>
    </row>
    <row r="11">
      <c r="A11" s="31" t="inlineStr">
        <is>
          <t>Idaho</t>
        </is>
      </c>
      <c r="B11" s="31" t="n">
        <v>4.9295</v>
      </c>
      <c r="C11" s="31" t="n"/>
      <c r="D11" s="31" t="n"/>
      <c r="E11" s="31" t="n"/>
      <c r="F11" s="31" t="n"/>
      <c r="G11" s="31" t="inlineStr">
        <is>
          <t>MO</t>
        </is>
      </c>
      <c r="H11" s="31" t="n">
        <v>194.4396258303781</v>
      </c>
      <c r="I11" s="31" t="n">
        <v>263</v>
      </c>
      <c r="J11" s="31" t="n">
        <v>4.2777</v>
      </c>
      <c r="K11" s="31" t="n">
        <v>0.1951822514272702</v>
      </c>
      <c r="L11" s="31" t="n">
        <v>4.916780163285186</v>
      </c>
      <c r="M11" s="31" t="n"/>
      <c r="N11" s="31" t="n"/>
      <c r="O11" s="31" t="n"/>
      <c r="P11" s="31" t="n"/>
      <c r="Q11" s="31" t="n"/>
      <c r="R11" s="31" t="inlineStr">
        <is>
          <t>Oklahoma</t>
        </is>
      </c>
      <c r="S11" s="31" t="n">
        <v>23.366843</v>
      </c>
      <c r="T11" s="31" t="n">
        <v>5.667041</v>
      </c>
      <c r="U11" s="31" t="n"/>
      <c r="V11" s="31" t="n">
        <v>2024</v>
      </c>
      <c r="W11" s="31" t="n">
        <v>3.4558</v>
      </c>
      <c r="X11" s="31" t="n">
        <v>0.0853</v>
      </c>
      <c r="Y11" s="31" t="n">
        <v>0.6971000000000001</v>
      </c>
      <c r="Z11" s="31" t="n">
        <v>1175</v>
      </c>
      <c r="AA11" s="31" t="n">
        <v>237</v>
      </c>
      <c r="AB11" s="31" t="n">
        <v>938</v>
      </c>
      <c r="AC11" s="31" t="n"/>
      <c r="AD11" s="31" t="n">
        <v>2024</v>
      </c>
      <c r="AE11" s="31" t="n">
        <v>11.7549</v>
      </c>
      <c r="AF11" s="31" t="n">
        <v>10.8616</v>
      </c>
      <c r="AG11" s="31" t="n">
        <v>4.1486</v>
      </c>
      <c r="AH11" s="31" t="n">
        <v>6.3455</v>
      </c>
      <c r="AI11" s="31" t="n">
        <v>6.3522</v>
      </c>
      <c r="AJ11" s="31" t="n">
        <v>9.6698</v>
      </c>
      <c r="AK11" s="31" t="n">
        <v>11.9307</v>
      </c>
      <c r="AL11" s="31" t="n">
        <v>5.0922</v>
      </c>
      <c r="AM11" s="31" t="n">
        <v>5.5324</v>
      </c>
      <c r="AN11" s="31" t="n">
        <v>5.4976</v>
      </c>
    </row>
    <row r="12">
      <c r="A12" s="31" t="inlineStr">
        <is>
          <t>Arkansas</t>
        </is>
      </c>
      <c r="B12" s="31" t="n">
        <v>4.727</v>
      </c>
      <c r="C12" s="31" t="n"/>
      <c r="D12" s="31" t="n"/>
      <c r="E12" s="31" t="n"/>
      <c r="F12" s="31" t="n"/>
      <c r="G12" s="31" t="inlineStr">
        <is>
          <t>AR</t>
        </is>
      </c>
      <c r="H12" s="31" t="n">
        <v>95.67406195778176</v>
      </c>
      <c r="I12" s="31" t="n">
        <v>143</v>
      </c>
      <c r="J12" s="31" t="n">
        <v>4.727</v>
      </c>
      <c r="K12" s="31" t="n">
        <v>0.1322237993583179</v>
      </c>
      <c r="L12" s="31" t="n">
        <v>4.838403954037575</v>
      </c>
      <c r="M12" s="31" t="n"/>
      <c r="N12" s="31" t="n"/>
      <c r="O12" s="31" t="n"/>
      <c r="P12" s="31" t="n"/>
      <c r="Q12" s="31" t="n"/>
      <c r="R12" s="31" t="inlineStr">
        <is>
          <t>North Dakota</t>
        </is>
      </c>
      <c r="S12" s="31" t="n">
        <v>4.448134</v>
      </c>
      <c r="T12" s="31" t="n">
        <v>5.564633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</row>
    <row r="13">
      <c r="A13" s="31" t="inlineStr">
        <is>
          <t>Mississippi</t>
        </is>
      </c>
      <c r="B13" s="31" t="n">
        <v>4.6861</v>
      </c>
      <c r="C13" s="31" t="n"/>
      <c r="D13" s="31" t="n"/>
      <c r="E13" s="31" t="n"/>
      <c r="F13" s="31" t="n"/>
      <c r="G13" s="31" t="inlineStr">
        <is>
          <t>MS</t>
        </is>
      </c>
      <c r="H13" s="31" t="n">
        <v>93.80881279118975</v>
      </c>
      <c r="I13" s="31" t="n">
        <v>139</v>
      </c>
      <c r="J13" s="31" t="n">
        <v>4.6861</v>
      </c>
      <c r="K13" s="31" t="n">
        <v>0.2359924967871307</v>
      </c>
      <c r="L13" s="31" t="n">
        <v>4.665862442162758</v>
      </c>
      <c r="M13" s="31" t="n"/>
      <c r="N13" s="31" t="n"/>
      <c r="O13" s="31" t="n"/>
      <c r="P13" s="31" t="n"/>
      <c r="Q13" s="31" t="n"/>
      <c r="R13" s="31" t="inlineStr">
        <is>
          <t>Nevada</t>
        </is>
      </c>
      <c r="S13" s="31" t="n">
        <v>18.138659</v>
      </c>
      <c r="T13" s="31" t="n">
        <v>5.526392</v>
      </c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  <c r="AG13" s="31" t="n"/>
      <c r="AH13" s="31" t="n"/>
      <c r="AI13" s="31" t="n"/>
      <c r="AJ13" s="31" t="n"/>
      <c r="AK13" s="31" t="n"/>
      <c r="AL13" s="31" t="n"/>
      <c r="AM13" s="31" t="n"/>
      <c r="AN13" s="31" t="n"/>
    </row>
    <row r="14">
      <c r="A14" s="31" t="inlineStr">
        <is>
          <t>District of Columbia</t>
        </is>
      </c>
      <c r="B14" s="31" t="n">
        <v>4.378</v>
      </c>
      <c r="C14" s="31" t="n"/>
      <c r="D14" s="31" t="n"/>
      <c r="E14" s="31" t="n"/>
      <c r="F14" s="31" t="n"/>
      <c r="G14" s="31" t="inlineStr">
        <is>
          <t>CA</t>
        </is>
      </c>
      <c r="H14" s="31" t="n">
        <v>1242.173239873566</v>
      </c>
      <c r="I14" s="31" t="n">
        <v>1405</v>
      </c>
      <c r="J14" s="31" t="n">
        <v>3.5772</v>
      </c>
      <c r="K14" s="31" t="n">
        <v>0.2622399944557883</v>
      </c>
      <c r="L14" s="31" t="n">
        <v>4.619922571872022</v>
      </c>
      <c r="M14" s="31" t="n"/>
      <c r="N14" s="31" t="n"/>
      <c r="O14" s="31" t="n"/>
      <c r="P14" s="31" t="n"/>
      <c r="Q14" s="31" t="n"/>
      <c r="R14" s="31" t="inlineStr">
        <is>
          <t>Arkansas</t>
        </is>
      </c>
      <c r="S14" s="31" t="n">
        <v>16.925777</v>
      </c>
      <c r="T14" s="31" t="n">
        <v>5.434001</v>
      </c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</row>
    <row r="15">
      <c r="A15" s="31" t="inlineStr">
        <is>
          <t>Louisiana</t>
        </is>
      </c>
      <c r="B15" s="31" t="n">
        <v>4.3088</v>
      </c>
      <c r="C15" s="31" t="n"/>
      <c r="D15" s="31" t="n"/>
      <c r="E15" s="31" t="n"/>
      <c r="F15" s="31" t="n"/>
      <c r="G15" s="31" t="inlineStr">
        <is>
          <t>LA</t>
        </is>
      </c>
      <c r="H15" s="31" t="n">
        <v>146.7985667619365</v>
      </c>
      <c r="I15" s="31" t="n">
        <v>200</v>
      </c>
      <c r="J15" s="31" t="n">
        <v>4.3088</v>
      </c>
      <c r="K15" s="31" t="n">
        <v>0.3877882047323518</v>
      </c>
      <c r="L15" s="31" t="n">
        <v>4.390989762416891</v>
      </c>
      <c r="M15" s="31" t="n"/>
      <c r="N15" s="31" t="n"/>
      <c r="O15" s="31" t="n"/>
      <c r="P15" s="31" t="n"/>
      <c r="Q15" s="31" t="n"/>
      <c r="R15" s="31" t="inlineStr">
        <is>
          <t>Delaware</t>
        </is>
      </c>
      <c r="S15" s="31" t="n">
        <v>5.371201</v>
      </c>
      <c r="T15" s="31" t="n">
        <v>5.0674</v>
      </c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31" t="n"/>
      <c r="AJ15" s="31" t="n"/>
      <c r="AK15" s="31" t="n"/>
      <c r="AL15" s="31" t="n"/>
      <c r="AM15" s="31" t="n"/>
      <c r="AN15" s="31" t="n"/>
    </row>
    <row r="16">
      <c r="A16" s="31" t="inlineStr">
        <is>
          <t>Missouri</t>
        </is>
      </c>
      <c r="B16" s="31" t="n">
        <v>4.2777</v>
      </c>
      <c r="C16" s="31" t="n"/>
      <c r="D16" s="31" t="n"/>
      <c r="E16" s="31" t="n"/>
      <c r="F16" s="31" t="n"/>
      <c r="G16" s="31" t="inlineStr">
        <is>
          <t>ID</t>
        </is>
      </c>
      <c r="H16" s="31" t="n">
        <v>57.74035116034838</v>
      </c>
      <c r="I16" s="31" t="n">
        <v>90</v>
      </c>
      <c r="J16" s="31" t="n">
        <v>4.9295</v>
      </c>
      <c r="K16" s="31" t="n">
        <v>0.1095454630103312</v>
      </c>
      <c r="L16" s="31" t="n">
        <v>4.245412802056486</v>
      </c>
      <c r="M16" s="31" t="n"/>
      <c r="N16" s="31" t="n"/>
      <c r="O16" s="31" t="n"/>
      <c r="P16" s="31" t="n"/>
      <c r="Q16" s="31" t="n"/>
      <c r="R16" s="31" t="inlineStr">
        <is>
          <t>Maine</t>
        </is>
      </c>
      <c r="S16" s="31" t="n">
        <v>6.787145</v>
      </c>
      <c r="T16" s="31" t="n">
        <v>4.796996</v>
      </c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</row>
    <row r="17">
      <c r="A17" s="31" t="n"/>
      <c r="B17" s="31" t="n"/>
      <c r="C17" s="31" t="n"/>
      <c r="D17" s="31" t="n"/>
      <c r="E17" s="31" t="n"/>
      <c r="F17" s="31" t="n"/>
      <c r="G17" s="31" t="inlineStr">
        <is>
          <t>WY</t>
        </is>
      </c>
      <c r="H17" s="31" t="n">
        <v>18.39233642867395</v>
      </c>
      <c r="I17" s="31" t="n">
        <v>36</v>
      </c>
      <c r="J17" s="31" t="n">
        <v>6.1903</v>
      </c>
      <c r="K17" s="31" t="n">
        <v>0.3439037894758563</v>
      </c>
      <c r="L17" s="31" t="n">
        <v>4.10566282566442</v>
      </c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1" t="n"/>
      <c r="AH17" s="31" t="n"/>
      <c r="AI17" s="31" t="n"/>
      <c r="AJ17" s="31" t="n"/>
      <c r="AK17" s="31" t="n"/>
      <c r="AL17" s="31" t="n"/>
      <c r="AM17" s="31" t="n"/>
      <c r="AN17" s="31" t="n"/>
    </row>
    <row r="18">
      <c r="A18" s="31" t="n"/>
      <c r="B18" s="31" t="n"/>
      <c r="C18" s="31" t="n"/>
      <c r="D18" s="31" t="n"/>
      <c r="E18" s="31" t="n"/>
      <c r="F18" s="31" t="n"/>
      <c r="G18" s="31" t="inlineStr">
        <is>
          <t>AL</t>
        </is>
      </c>
      <c r="H18" s="31" t="n">
        <v>157.5669663591787</v>
      </c>
      <c r="I18" s="31" t="n">
        <v>200</v>
      </c>
      <c r="J18" s="31" t="n">
        <v>4.0143</v>
      </c>
      <c r="K18" s="31" t="n">
        <v>0.08028578528128727</v>
      </c>
      <c r="L18" s="31" t="n">
        <v>3.380426478601161</v>
      </c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  <c r="AG18" s="31" t="n"/>
      <c r="AH18" s="31" t="n"/>
      <c r="AI18" s="31" t="n"/>
      <c r="AJ18" s="31" t="n"/>
      <c r="AK18" s="31" t="n"/>
      <c r="AL18" s="31" t="n"/>
      <c r="AM18" s="31" t="n"/>
      <c r="AN18" s="31" t="n"/>
    </row>
    <row r="19">
      <c r="A19" s="31" t="n"/>
      <c r="B19" s="31" t="n"/>
      <c r="C19" s="31" t="n"/>
      <c r="D19" s="31" t="n"/>
      <c r="E19" s="31" t="n"/>
      <c r="F19" s="31" t="n"/>
      <c r="G19" s="31" t="inlineStr">
        <is>
          <t>KY</t>
        </is>
      </c>
      <c r="H19" s="31" t="n">
        <v>142.0547153919441</v>
      </c>
      <c r="I19" s="31" t="n">
        <v>179</v>
      </c>
      <c r="J19" s="31" t="n">
        <v>3.9851</v>
      </c>
      <c r="K19" s="31" t="n">
        <v>0.08905292437558872</v>
      </c>
      <c r="L19" s="31" t="n">
        <v>3.09978226599525</v>
      </c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  <c r="AL19" s="31" t="n"/>
      <c r="AM19" s="31" t="n"/>
      <c r="AN19" s="31" t="n"/>
    </row>
    <row r="20">
      <c r="A20" s="31" t="n"/>
      <c r="B20" s="31" t="n"/>
      <c r="C20" s="31" t="n"/>
      <c r="D20" s="31" t="n"/>
      <c r="E20" s="31" t="n"/>
      <c r="F20" s="31" t="n"/>
      <c r="G20" s="31" t="inlineStr">
        <is>
          <t>GA</t>
        </is>
      </c>
      <c r="H20" s="31" t="n">
        <v>337.5842259462947</v>
      </c>
      <c r="I20" s="31" t="n">
        <v>393</v>
      </c>
      <c r="J20" s="31" t="n">
        <v>3.6817</v>
      </c>
      <c r="K20" s="31" t="n">
        <v>0.224839689301528</v>
      </c>
      <c r="L20" s="31" t="n">
        <v>3.01607634956511</v>
      </c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1" t="n"/>
    </row>
    <row r="21">
      <c r="A21" s="31" t="n"/>
      <c r="B21" s="31" t="n"/>
      <c r="C21" s="31" t="n"/>
      <c r="D21" s="31" t="n"/>
      <c r="E21" s="31" t="n"/>
      <c r="F21" s="31" t="n"/>
      <c r="G21" s="31" t="inlineStr">
        <is>
          <t>UT</t>
        </is>
      </c>
      <c r="H21" s="31" t="n">
        <v>102.6397706178938</v>
      </c>
      <c r="I21" s="31" t="n">
        <v>133</v>
      </c>
      <c r="J21" s="31" t="n">
        <v>4.0981</v>
      </c>
      <c r="K21" s="31" t="n">
        <v>0.1232503457942514</v>
      </c>
      <c r="L21" s="31" t="n">
        <v>2.996727215968977</v>
      </c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1" t="n"/>
      <c r="AK21" s="31" t="n"/>
      <c r="AL21" s="31" t="n"/>
      <c r="AM21" s="31" t="n"/>
      <c r="AN21" s="31" t="n"/>
    </row>
    <row r="22">
      <c r="A22" s="31" t="n"/>
      <c r="B22" s="31" t="n"/>
      <c r="C22" s="31" t="n"/>
      <c r="D22" s="31" t="n"/>
      <c r="E22" s="31" t="n"/>
      <c r="F22" s="31" t="n"/>
      <c r="G22" s="31" t="inlineStr">
        <is>
          <t>OR</t>
        </is>
      </c>
      <c r="H22" s="31" t="n">
        <v>132.5410635427735</v>
      </c>
      <c r="I22" s="31" t="n">
        <v>166</v>
      </c>
      <c r="J22" s="31" t="n">
        <v>3.961</v>
      </c>
      <c r="K22" s="31" t="n">
        <v>0.167028840869953</v>
      </c>
      <c r="L22" s="31" t="n">
        <v>2.906276341584642</v>
      </c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1" t="n"/>
    </row>
    <row r="23">
      <c r="A23" s="31" t="n"/>
      <c r="B23" s="31" t="n"/>
      <c r="C23" s="31" t="n"/>
      <c r="D23" s="31" t="n"/>
      <c r="E23" s="31" t="n"/>
      <c r="F23" s="31" t="n"/>
      <c r="G23" s="31" t="inlineStr">
        <is>
          <t>TX</t>
        </is>
      </c>
      <c r="H23" s="31" t="n">
        <v>924.3344042721975</v>
      </c>
      <c r="I23" s="31" t="n">
        <v>1010</v>
      </c>
      <c r="J23" s="31" t="n">
        <v>3.4557</v>
      </c>
      <c r="K23" s="31" t="n">
        <v>0.2155536094143963</v>
      </c>
      <c r="L23" s="31" t="n">
        <v>2.81768136889951</v>
      </c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1" t="n"/>
    </row>
    <row r="24">
      <c r="A24" s="31" t="n"/>
      <c r="B24" s="31" t="n"/>
      <c r="C24" s="31" t="n"/>
      <c r="D24" s="31" t="n"/>
      <c r="E24" s="31" t="n"/>
      <c r="F24" s="31" t="n"/>
      <c r="G24" s="31" t="inlineStr">
        <is>
          <t>WA</t>
        </is>
      </c>
      <c r="H24" s="31" t="n">
        <v>240.5000789588</v>
      </c>
      <c r="I24" s="31" t="n">
        <v>277</v>
      </c>
      <c r="J24" s="31" t="n">
        <v>3.6426</v>
      </c>
      <c r="K24" s="31" t="n">
        <v>0.17095114058601</v>
      </c>
      <c r="L24" s="31" t="n">
        <v>2.353608984974314</v>
      </c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  <c r="AL24" s="31" t="n"/>
      <c r="AM24" s="31" t="n"/>
      <c r="AN24" s="31" t="n"/>
    </row>
    <row r="25">
      <c r="A25" s="31" t="n"/>
      <c r="B25" s="31" t="n"/>
      <c r="C25" s="31" t="n"/>
      <c r="D25" s="31" t="n"/>
      <c r="E25" s="31" t="n"/>
      <c r="F25" s="31" t="n"/>
      <c r="G25" s="31" t="inlineStr">
        <is>
          <t>DC</t>
        </is>
      </c>
      <c r="H25" s="31" t="n">
        <v>21.67132342462655</v>
      </c>
      <c r="I25" s="31" t="n">
        <v>30</v>
      </c>
      <c r="J25" s="31" t="n">
        <v>4.378</v>
      </c>
      <c r="K25" s="31" t="n">
        <v>0.4378040914251691</v>
      </c>
      <c r="L25" s="31" t="n">
        <v>1.789094500719427</v>
      </c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1" t="n"/>
      <c r="AH25" s="31" t="n"/>
      <c r="AI25" s="31" t="n"/>
      <c r="AJ25" s="31" t="n"/>
      <c r="AK25" s="31" t="n"/>
      <c r="AL25" s="31" t="n"/>
      <c r="AM25" s="31" t="n"/>
      <c r="AN25" s="31" t="n"/>
    </row>
    <row r="26">
      <c r="A26" s="31" t="n"/>
      <c r="B26" s="31" t="n"/>
      <c r="C26" s="31" t="n"/>
      <c r="D26" s="31" t="n"/>
      <c r="E26" s="31" t="n"/>
      <c r="F26" s="31" t="n"/>
      <c r="G26" s="31" t="inlineStr">
        <is>
          <t>SD</t>
        </is>
      </c>
      <c r="H26" s="31" t="n">
        <v>28.11967863853294</v>
      </c>
      <c r="I26" s="31" t="n">
        <v>35</v>
      </c>
      <c r="J26" s="31" t="n">
        <v>3.9364</v>
      </c>
      <c r="K26" s="31" t="n">
        <v>0.1124692396629522</v>
      </c>
      <c r="L26" s="31" t="n">
        <v>1.297488588514405</v>
      </c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1" t="n"/>
      <c r="AH26" s="31" t="n"/>
      <c r="AI26" s="31" t="n"/>
      <c r="AJ26" s="31" t="n"/>
      <c r="AK26" s="31" t="n"/>
      <c r="AL26" s="31" t="n"/>
      <c r="AM26" s="31" t="n"/>
      <c r="AN26" s="31" t="n"/>
    </row>
    <row r="27">
      <c r="A27" s="31" t="n"/>
      <c r="B27" s="31" t="n"/>
      <c r="C27" s="31" t="n"/>
      <c r="D27" s="31" t="n"/>
      <c r="E27" s="31" t="n"/>
      <c r="F27" s="31" t="n"/>
      <c r="G27" s="31" t="inlineStr">
        <is>
          <t>ME</t>
        </is>
      </c>
      <c r="H27" s="31" t="n">
        <v>43.08415513808048</v>
      </c>
      <c r="I27" s="31" t="n">
        <v>49</v>
      </c>
      <c r="J27" s="31" t="n">
        <v>3.5969</v>
      </c>
      <c r="K27" s="31" t="n">
        <v>0.1468102176975313</v>
      </c>
      <c r="L27" s="31" t="n">
        <v>0.9012763725445172</v>
      </c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  <c r="AJ27" s="31" t="n"/>
      <c r="AK27" s="31" t="n"/>
      <c r="AL27" s="31" t="n"/>
      <c r="AM27" s="31" t="n"/>
      <c r="AN27" s="31" t="n"/>
    </row>
    <row r="28">
      <c r="A28" s="31" t="n"/>
      <c r="B28" s="31" t="n"/>
      <c r="C28" s="31" t="n"/>
      <c r="D28" s="31" t="n"/>
      <c r="E28" s="31" t="n"/>
      <c r="F28" s="31" t="n"/>
      <c r="G28" s="31" t="inlineStr">
        <is>
          <t>KS</t>
        </is>
      </c>
      <c r="H28" s="31" t="n">
        <v>92.61197852116875</v>
      </c>
      <c r="I28" s="31" t="n">
        <v>99</v>
      </c>
      <c r="J28" s="31" t="n">
        <v>3.3807</v>
      </c>
      <c r="K28" s="31" t="n">
        <v>0.2390423009255718</v>
      </c>
      <c r="L28" s="31" t="n">
        <v>0.6637931807725728</v>
      </c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  <c r="AJ28" s="31" t="n"/>
      <c r="AK28" s="31" t="n"/>
      <c r="AL28" s="31" t="n"/>
      <c r="AM28" s="31" t="n"/>
      <c r="AN28" s="31" t="n"/>
    </row>
    <row r="29">
      <c r="A29" s="31" t="n"/>
      <c r="B29" s="31" t="n"/>
      <c r="C29" s="31" t="n"/>
      <c r="D29" s="31" t="n"/>
      <c r="E29" s="31" t="n"/>
      <c r="F29" s="31" t="n"/>
      <c r="G29" s="31" t="inlineStr">
        <is>
          <t>SC</t>
        </is>
      </c>
      <c r="H29" s="31" t="n">
        <v>163.191442890989</v>
      </c>
      <c r="I29" s="31" t="n">
        <v>171</v>
      </c>
      <c r="J29" s="31" t="n">
        <v>3.3139</v>
      </c>
      <c r="K29" s="31" t="n">
        <v>0.1356577316670688</v>
      </c>
      <c r="L29" s="31" t="n">
        <v>0.6112545427446221</v>
      </c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  <c r="AG29" s="31" t="n"/>
      <c r="AH29" s="31" t="n"/>
      <c r="AI29" s="31" t="n"/>
      <c r="AJ29" s="31" t="n"/>
      <c r="AK29" s="31" t="n"/>
      <c r="AL29" s="31" t="n"/>
      <c r="AM29" s="31" t="n"/>
      <c r="AN29" s="31" t="n"/>
    </row>
    <row r="30">
      <c r="A30" s="31" t="n"/>
      <c r="B30" s="31" t="n"/>
      <c r="C30" s="31" t="n"/>
      <c r="D30" s="31" t="n"/>
      <c r="E30" s="31" t="n"/>
      <c r="F30" s="31" t="n"/>
      <c r="G30" s="31" t="inlineStr">
        <is>
          <t>ND</t>
        </is>
      </c>
      <c r="H30" s="31" t="n">
        <v>24.35775990318463</v>
      </c>
      <c r="I30" s="31" t="n">
        <v>27</v>
      </c>
      <c r="J30" s="31" t="n">
        <v>3.5057</v>
      </c>
      <c r="K30" s="31" t="n">
        <v>0.5193577621912743</v>
      </c>
      <c r="L30" s="31" t="n">
        <v>0.5353694758295298</v>
      </c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</row>
    <row r="31">
      <c r="A31" s="31" t="n"/>
      <c r="B31" s="31" t="n"/>
      <c r="C31" s="31" t="n"/>
      <c r="D31" s="31" t="n"/>
      <c r="E31" s="31" t="n"/>
      <c r="F31" s="31" t="n"/>
      <c r="G31" s="31" t="inlineStr">
        <is>
          <t>HI</t>
        </is>
      </c>
      <c r="H31" s="31" t="n">
        <v>45.27644214533777</v>
      </c>
      <c r="I31" s="31" t="n">
        <v>47</v>
      </c>
      <c r="J31" s="31" t="n">
        <v>3.283</v>
      </c>
      <c r="K31" s="31" t="n">
        <v>0.2794033620606556</v>
      </c>
      <c r="L31" s="31" t="n">
        <v>0.2561472630501044</v>
      </c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  <c r="AL31" s="31" t="n"/>
      <c r="AM31" s="31" t="n"/>
      <c r="AN31" s="31" t="n"/>
    </row>
    <row r="32">
      <c r="A32" s="31" t="n"/>
      <c r="B32" s="31" t="n"/>
      <c r="C32" s="31" t="n"/>
      <c r="D32" s="31" t="n"/>
      <c r="E32" s="31" t="n"/>
      <c r="F32" s="31" t="n"/>
      <c r="G32" s="31" t="inlineStr">
        <is>
          <t>IN</t>
        </is>
      </c>
      <c r="H32" s="31" t="n">
        <v>213.7619966753251</v>
      </c>
      <c r="I32" s="31" t="n">
        <v>214</v>
      </c>
      <c r="J32" s="31" t="n">
        <v>3.1661</v>
      </c>
      <c r="K32" s="31" t="n">
        <v>0.07397472875316334</v>
      </c>
      <c r="L32" s="31" t="n">
        <v>0.01627862711180437</v>
      </c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  <c r="AL32" s="31" t="n"/>
      <c r="AM32" s="31" t="n"/>
      <c r="AN32" s="31" t="n"/>
    </row>
    <row r="33">
      <c r="A33" s="31" t="n"/>
      <c r="B33" s="31" t="n"/>
      <c r="C33" s="31" t="n"/>
      <c r="D33" s="31" t="n"/>
      <c r="E33" s="31" t="n"/>
      <c r="F33" s="31" t="n"/>
      <c r="G33" s="31" t="inlineStr">
        <is>
          <t>FL</t>
        </is>
      </c>
      <c r="H33" s="31" t="n">
        <v>684.8454866704174</v>
      </c>
      <c r="I33" s="31" t="n">
        <v>672</v>
      </c>
      <c r="J33" s="31" t="n">
        <v>3.1033</v>
      </c>
      <c r="K33" s="31" t="n">
        <v>0.1893368444696648</v>
      </c>
      <c r="L33" s="31" t="n">
        <v>-0.4908561806539942</v>
      </c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  <c r="AG33" s="31" t="n"/>
      <c r="AH33" s="31" t="n"/>
      <c r="AI33" s="31" t="n"/>
      <c r="AJ33" s="31" t="n"/>
      <c r="AK33" s="31" t="n"/>
      <c r="AL33" s="31" t="n"/>
      <c r="AM33" s="31" t="n"/>
      <c r="AN33" s="31" t="n"/>
    </row>
    <row r="34">
      <c r="A34" s="31" t="n"/>
      <c r="B34" s="31" t="n"/>
      <c r="C34" s="31" t="n"/>
      <c r="D34" s="31" t="n"/>
      <c r="E34" s="31" t="n"/>
      <c r="F34" s="31" t="n"/>
      <c r="G34" s="31" t="inlineStr">
        <is>
          <t>VT</t>
        </is>
      </c>
      <c r="H34" s="31" t="n">
        <v>20.09395282143777</v>
      </c>
      <c r="I34" s="31" t="n">
        <v>15</v>
      </c>
      <c r="J34" s="31" t="n">
        <v>2.3609</v>
      </c>
      <c r="K34" s="31" t="n">
        <v>0.3147811798628183</v>
      </c>
      <c r="L34" s="31" t="n">
        <v>-1.13637646125174</v>
      </c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  <c r="AL34" s="31" t="n"/>
      <c r="AM34" s="31" t="n"/>
      <c r="AN34" s="31" t="n"/>
    </row>
    <row r="35">
      <c r="A35" s="31" t="n"/>
      <c r="B35" s="31" t="n"/>
      <c r="C35" s="31" t="n"/>
      <c r="D35" s="31" t="n"/>
      <c r="E35" s="31" t="n"/>
      <c r="F35" s="31" t="n"/>
      <c r="G35" s="31" t="inlineStr">
        <is>
          <t>NC</t>
        </is>
      </c>
      <c r="H35" s="31" t="n">
        <v>331.9770646335936</v>
      </c>
      <c r="I35" s="31" t="n">
        <v>310</v>
      </c>
      <c r="J35" s="31" t="n">
        <v>2.9532</v>
      </c>
      <c r="K35" s="31" t="n">
        <v>0.1238451912245965</v>
      </c>
      <c r="L35" s="31" t="n">
        <v>-1.206189782105526</v>
      </c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  <c r="AL35" s="31" t="n"/>
      <c r="AM35" s="31" t="n"/>
      <c r="AN35" s="31" t="n"/>
    </row>
    <row r="36">
      <c r="A36" s="31" t="n"/>
      <c r="B36" s="31" t="n"/>
      <c r="C36" s="31" t="n"/>
      <c r="D36" s="31" t="n"/>
      <c r="E36" s="31" t="n"/>
      <c r="F36" s="31" t="n"/>
      <c r="G36" s="31" t="inlineStr">
        <is>
          <t>NH</t>
        </is>
      </c>
      <c r="H36" s="31" t="n">
        <v>43.37177436852169</v>
      </c>
      <c r="I36" s="31" t="n">
        <v>33</v>
      </c>
      <c r="J36" s="31" t="n">
        <v>2.4063</v>
      </c>
      <c r="K36" s="31" t="n">
        <v>0.07291834530774094</v>
      </c>
      <c r="L36" s="31" t="n">
        <v>-1.574887244400589</v>
      </c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</row>
    <row r="37">
      <c r="A37" s="31" t="n"/>
      <c r="B37" s="31" t="n"/>
      <c r="C37" s="31" t="n"/>
      <c r="D37" s="31" t="n"/>
      <c r="E37" s="31" t="n"/>
      <c r="F37" s="31" t="n"/>
      <c r="G37" s="31" t="inlineStr">
        <is>
          <t>NE</t>
        </is>
      </c>
      <c r="H37" s="31" t="n">
        <v>61.5670209086723</v>
      </c>
      <c r="I37" s="31" t="n">
        <v>49</v>
      </c>
      <c r="J37" s="31" t="n">
        <v>2.517</v>
      </c>
      <c r="K37" s="31" t="n">
        <v>0.2054734004409459</v>
      </c>
      <c r="L37" s="31" t="n">
        <v>-1.601615517450271</v>
      </c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  <c r="AL37" s="31" t="n"/>
      <c r="AM37" s="31" t="n"/>
      <c r="AN37" s="31" t="n"/>
    </row>
    <row r="38">
      <c r="A38" s="31" t="n"/>
      <c r="B38" s="31" t="n"/>
      <c r="C38" s="31" t="n"/>
      <c r="D38" s="31" t="n"/>
      <c r="E38" s="31" t="n"/>
      <c r="F38" s="31" t="n"/>
      <c r="G38" s="31" t="inlineStr">
        <is>
          <t>WI</t>
        </is>
      </c>
      <c r="H38" s="31" t="n">
        <v>185.0880950336231</v>
      </c>
      <c r="I38" s="31" t="n">
        <v>163</v>
      </c>
      <c r="J38" s="31" t="n">
        <v>2.7852</v>
      </c>
      <c r="K38" s="31" t="n">
        <v>0.1025219020956844</v>
      </c>
      <c r="L38" s="31" t="n">
        <v>-1.623562528690304</v>
      </c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  <c r="AG38" s="31" t="n"/>
      <c r="AH38" s="31" t="n"/>
      <c r="AI38" s="31" t="n"/>
      <c r="AJ38" s="31" t="n"/>
      <c r="AK38" s="31" t="n"/>
      <c r="AL38" s="31" t="n"/>
      <c r="AM38" s="31" t="n"/>
      <c r="AN38" s="31" t="n"/>
    </row>
    <row r="39">
      <c r="A39" s="31" t="n"/>
      <c r="B39" s="31" t="n"/>
      <c r="C39" s="31" t="n"/>
      <c r="D39" s="31" t="n"/>
      <c r="E39" s="31" t="n"/>
      <c r="F39" s="31" t="n"/>
      <c r="G39" s="31" t="inlineStr">
        <is>
          <t>DE</t>
        </is>
      </c>
      <c r="H39" s="31" t="n">
        <v>31.27497013680546</v>
      </c>
      <c r="I39" s="31" t="n">
        <v>22</v>
      </c>
      <c r="J39" s="31" t="n">
        <v>2.2247</v>
      </c>
      <c r="K39" s="31" t="n">
        <v>0</v>
      </c>
      <c r="L39" s="31" t="n">
        <v>-1.65849462412164</v>
      </c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  <c r="AG39" s="31" t="n"/>
      <c r="AH39" s="31" t="n"/>
      <c r="AI39" s="31" t="n"/>
      <c r="AJ39" s="31" t="n"/>
      <c r="AK39" s="31" t="n"/>
      <c r="AL39" s="31" t="n"/>
      <c r="AM39" s="31" t="n"/>
      <c r="AN39" s="31" t="n"/>
    </row>
    <row r="40">
      <c r="A40" s="31" t="n"/>
      <c r="B40" s="31" t="n"/>
      <c r="C40" s="31" t="n"/>
      <c r="D40" s="31" t="n"/>
      <c r="E40" s="31" t="n"/>
      <c r="F40" s="31" t="n"/>
      <c r="G40" s="31" t="inlineStr">
        <is>
          <t>OH</t>
        </is>
      </c>
      <c r="H40" s="31" t="n">
        <v>370.8806901967004</v>
      </c>
      <c r="I40" s="31" t="n">
        <v>305</v>
      </c>
      <c r="J40" s="31" t="n">
        <v>2.6008</v>
      </c>
      <c r="K40" s="31" t="n">
        <v>0.1705452493640154</v>
      </c>
      <c r="L40" s="31" t="n">
        <v>-3.420905120815166</v>
      </c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  <c r="AG40" s="31" t="n"/>
      <c r="AH40" s="31" t="n"/>
      <c r="AI40" s="31" t="n"/>
      <c r="AJ40" s="31" t="n"/>
      <c r="AK40" s="31" t="n"/>
      <c r="AL40" s="31" t="n"/>
      <c r="AM40" s="31" t="n"/>
      <c r="AN40" s="31" t="n"/>
    </row>
    <row r="41">
      <c r="A41" s="31" t="n"/>
      <c r="B41" s="31" t="n"/>
      <c r="C41" s="31" t="n"/>
      <c r="D41" s="31" t="n"/>
      <c r="E41" s="31" t="n"/>
      <c r="F41" s="31" t="n"/>
      <c r="G41" s="31" t="inlineStr">
        <is>
          <t>IA</t>
        </is>
      </c>
      <c r="H41" s="31" t="n">
        <v>100.364291493985</v>
      </c>
      <c r="I41" s="31" t="n">
        <v>63</v>
      </c>
      <c r="J41" s="31" t="n">
        <v>1.9852</v>
      </c>
      <c r="K41" s="31" t="n">
        <v>0.06302235686598642</v>
      </c>
      <c r="L41" s="31" t="n">
        <v>-3.729641940911616</v>
      </c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  <c r="AG41" s="31" t="n"/>
      <c r="AH41" s="31" t="n"/>
      <c r="AI41" s="31" t="n"/>
      <c r="AJ41" s="31" t="n"/>
      <c r="AK41" s="31" t="n"/>
      <c r="AL41" s="31" t="n"/>
      <c r="AM41" s="31" t="n"/>
      <c r="AN41" s="31" t="n"/>
    </row>
    <row r="42">
      <c r="A42" s="31" t="n"/>
      <c r="B42" s="31" t="n"/>
      <c r="C42" s="31" t="n"/>
      <c r="D42" s="31" t="n"/>
      <c r="E42" s="31" t="n"/>
      <c r="F42" s="31" t="n"/>
      <c r="G42" s="31" t="inlineStr">
        <is>
          <t>VA</t>
        </is>
      </c>
      <c r="H42" s="31" t="n">
        <v>271.3581998225634</v>
      </c>
      <c r="I42" s="31" t="n">
        <v>199</v>
      </c>
      <c r="J42" s="31" t="n">
        <v>2.3193</v>
      </c>
      <c r="K42" s="31" t="n">
        <v>0.1282016467384977</v>
      </c>
      <c r="L42" s="31" t="n">
        <v>-4.392545601977039</v>
      </c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  <c r="AG42" s="31" t="n"/>
      <c r="AH42" s="31" t="n"/>
      <c r="AI42" s="31" t="n"/>
      <c r="AJ42" s="31" t="n"/>
      <c r="AK42" s="31" t="n"/>
      <c r="AL42" s="31" t="n"/>
      <c r="AM42" s="31" t="n"/>
      <c r="AN42" s="31" t="n"/>
    </row>
    <row r="43">
      <c r="A43" s="31" t="n"/>
      <c r="B43" s="31" t="n"/>
      <c r="C43" s="31" t="n"/>
      <c r="D43" s="31" t="n"/>
      <c r="E43" s="31" t="n"/>
      <c r="F43" s="31" t="n"/>
      <c r="G43" s="31" t="inlineStr">
        <is>
          <t>RI</t>
        </is>
      </c>
      <c r="H43" s="31" t="n">
        <v>34.12409693525663</v>
      </c>
      <c r="I43" s="31" t="n">
        <v>8</v>
      </c>
      <c r="J43" s="31" t="n">
        <v>0.7413999999999999</v>
      </c>
      <c r="K43" s="31" t="n">
        <v>0</v>
      </c>
      <c r="L43" s="31" t="n">
        <v>-4.472091730173572</v>
      </c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  <c r="AG43" s="31" t="n"/>
      <c r="AH43" s="31" t="n"/>
      <c r="AI43" s="31" t="n"/>
      <c r="AJ43" s="31" t="n"/>
      <c r="AK43" s="31" t="n"/>
      <c r="AL43" s="31" t="n"/>
      <c r="AM43" s="31" t="n"/>
      <c r="AN43" s="31" t="n"/>
    </row>
    <row r="44">
      <c r="A44" s="31" t="n"/>
      <c r="B44" s="31" t="n"/>
      <c r="C44" s="31" t="n"/>
      <c r="D44" s="31" t="n"/>
      <c r="E44" s="31" t="n"/>
      <c r="F44" s="31" t="n"/>
      <c r="G44" s="31" t="inlineStr">
        <is>
          <t>MD</t>
        </is>
      </c>
      <c r="H44" s="31" t="n">
        <v>193.1782461161928</v>
      </c>
      <c r="I44" s="31" t="n">
        <v>129</v>
      </c>
      <c r="J44" s="31" t="n">
        <v>2.1119</v>
      </c>
      <c r="K44" s="31" t="n">
        <v>0.1637139223629289</v>
      </c>
      <c r="L44" s="31" t="n">
        <v>-4.617519466465651</v>
      </c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  <c r="AG44" s="31" t="n"/>
      <c r="AH44" s="31" t="n"/>
      <c r="AI44" s="31" t="n"/>
      <c r="AJ44" s="31" t="n"/>
      <c r="AK44" s="31" t="n"/>
      <c r="AL44" s="31" t="n"/>
      <c r="AM44" s="31" t="n"/>
      <c r="AN44" s="31" t="n"/>
    </row>
    <row r="45">
      <c r="A45" s="31" t="n"/>
      <c r="B45" s="31" t="n"/>
      <c r="C45" s="31" t="n"/>
      <c r="D45" s="31" t="n"/>
      <c r="E45" s="31" t="n"/>
      <c r="F45" s="31" t="n"/>
      <c r="G45" s="31" t="inlineStr">
        <is>
          <t>MN</t>
        </is>
      </c>
      <c r="H45" s="31" t="n">
        <v>178.7483181032704</v>
      </c>
      <c r="I45" s="31" t="n">
        <v>107</v>
      </c>
      <c r="J45" s="31" t="n">
        <v>1.8932</v>
      </c>
      <c r="K45" s="31" t="n">
        <v>0.1415441439914422</v>
      </c>
      <c r="L45" s="31" t="n">
        <v>-5.366495171211798</v>
      </c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  <c r="AG45" s="31" t="n"/>
      <c r="AH45" s="31" t="n"/>
      <c r="AI45" s="31" t="n"/>
      <c r="AJ45" s="31" t="n"/>
      <c r="AK45" s="31" t="n"/>
      <c r="AL45" s="31" t="n"/>
      <c r="AM45" s="31" t="n"/>
      <c r="AN45" s="31" t="n"/>
    </row>
    <row r="46">
      <c r="A46" s="31" t="n"/>
      <c r="B46" s="31" t="n"/>
      <c r="C46" s="31" t="n"/>
      <c r="D46" s="31" t="n"/>
      <c r="E46" s="31" t="n"/>
      <c r="F46" s="31" t="n"/>
      <c r="G46" s="31" t="inlineStr">
        <is>
          <t>MI</t>
        </is>
      </c>
      <c r="H46" s="31" t="n">
        <v>316.7245387903995</v>
      </c>
      <c r="I46" s="31" t="n">
        <v>187</v>
      </c>
      <c r="J46" s="31" t="n">
        <v>1.8673</v>
      </c>
      <c r="K46" s="31" t="n">
        <v>0.1198238828569768</v>
      </c>
      <c r="L46" s="31" t="n">
        <v>-7.289223709464855</v>
      </c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31" t="n"/>
      <c r="AL46" s="31" t="n"/>
      <c r="AM46" s="31" t="n"/>
      <c r="AN46" s="31" t="n"/>
    </row>
    <row r="47">
      <c r="A47" s="31" t="n"/>
      <c r="B47" s="31" t="n"/>
      <c r="C47" s="31" t="n"/>
      <c r="D47" s="31" t="n"/>
      <c r="E47" s="31" t="n"/>
      <c r="F47" s="31" t="n"/>
      <c r="G47" s="31" t="inlineStr">
        <is>
          <t>CT</t>
        </is>
      </c>
      <c r="H47" s="31" t="n">
        <v>113.8449565002811</v>
      </c>
      <c r="I47" s="31" t="n">
        <v>32</v>
      </c>
      <c r="J47" s="31" t="n">
        <v>0.889</v>
      </c>
      <c r="K47" s="31" t="n">
        <v>0.08333958380211849</v>
      </c>
      <c r="L47" s="31" t="n">
        <v>-7.670700469583339</v>
      </c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  <c r="AG47" s="31" t="n"/>
      <c r="AH47" s="31" t="n"/>
      <c r="AI47" s="31" t="n"/>
      <c r="AJ47" s="31" t="n"/>
      <c r="AK47" s="31" t="n"/>
      <c r="AL47" s="31" t="n"/>
      <c r="AM47" s="31" t="n"/>
      <c r="AN47" s="31" t="n"/>
    </row>
    <row r="48">
      <c r="A48" s="31" t="n"/>
      <c r="B48" s="31" t="n"/>
      <c r="C48" s="31" t="n"/>
      <c r="D48" s="31" t="n"/>
      <c r="E48" s="31" t="n"/>
      <c r="F48" s="31" t="n"/>
      <c r="G48" s="31" t="inlineStr">
        <is>
          <t>PA</t>
        </is>
      </c>
      <c r="H48" s="31" t="n">
        <v>408.0059115095144</v>
      </c>
      <c r="I48" s="31" t="n">
        <v>227</v>
      </c>
      <c r="J48" s="31" t="n">
        <v>1.7596</v>
      </c>
      <c r="K48" s="31" t="n">
        <v>0.1085189129474458</v>
      </c>
      <c r="L48" s="31" t="n">
        <v>-8.961063009111427</v>
      </c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  <c r="AG48" s="31" t="n"/>
      <c r="AH48" s="31" t="n"/>
      <c r="AI48" s="31" t="n"/>
      <c r="AJ48" s="31" t="n"/>
      <c r="AK48" s="31" t="n"/>
      <c r="AL48" s="31" t="n"/>
      <c r="AM48" s="31" t="n"/>
      <c r="AN48" s="31" t="n"/>
    </row>
    <row r="49">
      <c r="A49" s="31" t="n"/>
      <c r="B49" s="31" t="n"/>
      <c r="C49" s="31" t="n"/>
      <c r="D49" s="31" t="n"/>
      <c r="E49" s="31" t="n"/>
      <c r="F49" s="31" t="n"/>
      <c r="G49" s="31" t="inlineStr">
        <is>
          <t>IL</t>
        </is>
      </c>
      <c r="H49" s="31" t="n">
        <v>402.5918457252024</v>
      </c>
      <c r="I49" s="31" t="n">
        <v>212</v>
      </c>
      <c r="J49" s="31" t="n">
        <v>1.6654</v>
      </c>
      <c r="K49" s="31" t="n">
        <v>0.07855591602246888</v>
      </c>
      <c r="L49" s="31" t="n">
        <v>-9.498867478287234</v>
      </c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  <c r="AL49" s="31" t="n"/>
      <c r="AM49" s="31" t="n"/>
      <c r="AN49" s="31" t="n"/>
    </row>
    <row r="50">
      <c r="A50" s="31" t="n"/>
      <c r="B50" s="31" t="n"/>
      <c r="C50" s="31" t="n"/>
      <c r="D50" s="31" t="n"/>
      <c r="E50" s="31" t="n"/>
      <c r="F50" s="31" t="n"/>
      <c r="G50" s="31" t="inlineStr">
        <is>
          <t>NJ</t>
        </is>
      </c>
      <c r="H50" s="31" t="n">
        <v>288.2061199098053</v>
      </c>
      <c r="I50" s="31" t="n">
        <v>108</v>
      </c>
      <c r="J50" s="31" t="n">
        <v>1.1851</v>
      </c>
      <c r="K50" s="31" t="n">
        <v>0.03292015972422562</v>
      </c>
      <c r="L50" s="31" t="n">
        <v>-10.61494960079817</v>
      </c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  <c r="AL50" s="31" t="n"/>
      <c r="AM50" s="31" t="n"/>
      <c r="AN50" s="31" t="n"/>
    </row>
    <row r="51">
      <c r="A51" s="31" t="n"/>
      <c r="B51" s="31" t="n"/>
      <c r="C51" s="31" t="n"/>
      <c r="D51" s="31" t="n"/>
      <c r="E51" s="31" t="n"/>
      <c r="F51" s="31" t="n"/>
      <c r="G51" s="31" t="inlineStr">
        <is>
          <t>MA</t>
        </is>
      </c>
      <c r="H51" s="31" t="n">
        <v>219.7129196421434</v>
      </c>
      <c r="I51" s="31" t="n">
        <v>61</v>
      </c>
      <c r="J51" s="31" t="n">
        <v>0.878</v>
      </c>
      <c r="K51" s="31" t="n">
        <v>0.02878844823210859</v>
      </c>
      <c r="L51" s="31" t="n">
        <v>-10.70741124778434</v>
      </c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  <c r="AJ51" s="31" t="n"/>
      <c r="AK51" s="31" t="n"/>
      <c r="AL51" s="31" t="n"/>
      <c r="AM51" s="31" t="n"/>
      <c r="AN51" s="31" t="n"/>
    </row>
    <row r="52">
      <c r="A52" s="31" t="n"/>
      <c r="B52" s="31" t="n"/>
      <c r="C52" s="31" t="n"/>
      <c r="D52" s="31" t="n"/>
      <c r="E52" s="31" t="n"/>
      <c r="F52" s="31" t="n"/>
      <c r="G52" s="31" t="inlineStr">
        <is>
          <t>NY</t>
        </is>
      </c>
      <c r="H52" s="31" t="n">
        <v>624.0442032587995</v>
      </c>
      <c r="I52" s="31" t="n">
        <v>199</v>
      </c>
      <c r="J52" s="31" t="n">
        <v>1.0085</v>
      </c>
      <c r="K52" s="31" t="n">
        <v>0.0253395281384564</v>
      </c>
      <c r="L52" s="31" t="n">
        <v>-17.01478324768281</v>
      </c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  <c r="AL52" s="31" t="n"/>
      <c r="AM52" s="31" t="n"/>
      <c r="AN52" s="31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6" min="1" max="1"/>
    <col width="120" customWidth="1" style="16" min="2" max="2"/>
  </cols>
  <sheetData>
    <row r="1">
      <c r="A1" s="175" t="inlineStr">
        <is>
          <t>Review item</t>
        </is>
      </c>
      <c r="B1" s="175" t="inlineStr">
        <is>
          <t>Status / fix</t>
        </is>
      </c>
    </row>
    <row r="2">
      <c r="A2" s="176" t="inlineStr">
        <is>
          <t>Workbook opened and scanned</t>
        </is>
      </c>
      <c r="B2" s="176" t="inlineStr">
        <is>
          <t>Checked sheet structure, formulas, visible error strings, chart placeholders, and dashboard sheets.</t>
        </is>
      </c>
    </row>
    <row r="3">
      <c r="A3" s="176" t="inlineStr">
        <is>
          <t>Formula scan</t>
        </is>
      </c>
      <c r="B3" s="176" t="inlineStr">
        <is>
          <t>No visible common Excel error strings strings were found.</t>
        </is>
      </c>
    </row>
    <row r="4">
      <c r="A4" s="176" t="inlineStr">
        <is>
          <t>Broken media issue</t>
        </is>
      </c>
      <c r="B4" s="176" t="inlineStr">
        <is>
          <t>The workbook contained 16 zero-byte PNG media placeholders. These would not render as usable dashboard images.</t>
        </is>
      </c>
    </row>
    <row r="5">
      <c r="A5" s="176" t="inlineStr">
        <is>
          <t>Fix applied</t>
        </is>
      </c>
      <c r="B5" s="176" t="inlineStr">
        <is>
          <t>Removed the invalid media placeholders by rebuilding dashboard visuals as native Excel charts tied to helper ranges on the hidden ChartData sheet.</t>
        </is>
      </c>
    </row>
    <row r="6">
      <c r="A6" s="176" t="inlineStr">
        <is>
          <t>Charts rebuilt</t>
        </is>
      </c>
      <c r="B6" s="176" t="inlineStr">
        <is>
          <t>Executive Dashboard, State Patterns, Model &amp; Tests, and Incident Characteristics now use native Excel charts.</t>
        </is>
      </c>
    </row>
    <row r="7">
      <c r="A7" s="176" t="inlineStr">
        <is>
          <t>Calculation mode</t>
        </is>
      </c>
      <c r="B7" s="176" t="inlineStr">
        <is>
          <t>Set workbook to automatic calculation / full calculation on open.</t>
        </is>
      </c>
    </row>
    <row r="8">
      <c r="A8" s="176" t="inlineStr">
        <is>
          <t>Caution</t>
        </is>
      </c>
      <c r="B8" s="176" t="inlineStr">
        <is>
          <t>Formulas using modern Excel functions should recalculate when the workbook is opened in Excel or a compatible spreadsheet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2026-06-22T18:27:01Z</dcterms:created>
  <dcterms:modified xmlns:dcterms="http://purl.org/dc/terms/" xmlns:xsi="http://www.w3.org/2001/XMLSchema-instance" xsi:type="dcterms:W3CDTF">2026-06-22T18:27:35Z</dcterms:modified>
</cp:coreProperties>
</file>