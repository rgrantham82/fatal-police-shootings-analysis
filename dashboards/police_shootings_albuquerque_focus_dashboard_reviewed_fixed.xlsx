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Rate Summary" sheetId="2" state="visible" r:id="rId2"/>
    <sheet xmlns:r="http://schemas.openxmlformats.org/officeDocument/2006/relationships" name="Yearly" sheetId="3" state="visible" r:id="rId3"/>
    <sheet xmlns:r="http://schemas.openxmlformats.org/officeDocument/2006/relationships" name="Agency" sheetId="4" state="visible" r:id="rId4"/>
    <sheet xmlns:r="http://schemas.openxmlformats.org/officeDocument/2006/relationships" name="Features" sheetId="5" state="visible" r:id="rId5"/>
    <sheet xmlns:r="http://schemas.openxmlformats.org/officeDocument/2006/relationships" name="Incidents" sheetId="6" state="visible" r:id="rId6"/>
    <sheet xmlns:r="http://schemas.openxmlformats.org/officeDocument/2006/relationships" name="Sources" sheetId="7" state="visible" r:id="rId7"/>
    <sheet xmlns:r="http://schemas.openxmlformats.org/officeDocument/2006/relationships" name="Review Notes" sheetId="8" state="visible" r:id="rId8"/>
  </sheets>
  <definedNames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10">
    <font>
      <name val="Carlito"/>
      <sz val="11"/>
    </font>
    <font>
      <name val="Carlito"/>
      <b val="1"/>
      <color rgb="00FFFFFF"/>
      <sz val="11"/>
    </font>
    <font>
      <name val="Carlito"/>
      <b val="1"/>
      <sz val="11"/>
    </font>
    <font>
      <name val="Carlito"/>
      <color rgb="00111111"/>
      <sz val="11"/>
    </font>
    <font>
      <b val="1"/>
      <color rgb="001F4E78"/>
      <sz val="16"/>
    </font>
    <font>
      <b val="1"/>
      <color rgb="00FFFFFF"/>
    </font>
    <font>
      <b val="1"/>
      <color rgb="001F4E78"/>
    </font>
    <font>
      <b val="1"/>
      <color rgb="00111827"/>
    </font>
    <font>
      <i val="1"/>
      <color rgb="007A3E00"/>
    </font>
    <font>
      <color rgb="00111827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0B1F33"/>
      </patternFill>
    </fill>
    <fill>
      <patternFill patternType="solid">
        <fgColor rgb="00D9EAF7"/>
      </patternFill>
    </fill>
    <fill>
      <patternFill patternType="solid">
        <fgColor rgb="00F4F6F7"/>
      </patternFill>
    </fill>
    <fill>
      <patternFill patternType="solid">
        <fgColor rgb="001F4E78"/>
      </patternFill>
    </fill>
  </fills>
  <borders count="7">
    <border/>
    <border/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top style="thin">
        <color rgb="00D9E2F3"/>
      </top>
    </border>
    <border>
      <right style="thin">
        <color rgb="00D9E2F3"/>
      </right>
      <top style="thin">
        <color rgb="00D9E2F3"/>
      </top>
    </border>
    <border>
      <top style="thin">
        <color rgb="00D9E2F3"/>
      </top>
      <bottom style="thin">
        <color rgb="00D9E2F3"/>
      </bottom>
    </border>
    <border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1"/>
  </cellStyleXfs>
  <cellXfs count="6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1" applyAlignment="1" pivotButton="0" quotePrefix="0" xfId="0">
      <alignment horizontal="center" wrapText="1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horizontal="center"/>
    </xf>
    <xf numFmtId="0" fontId="1" fillId="3" borderId="0" applyAlignment="1" pivotButton="0" quotePrefix="0" xfId="0">
      <alignment horizontal="center" vertical="center"/>
    </xf>
    <xf numFmtId="0" fontId="0" fillId="3" borderId="1" pivotButton="0" quotePrefix="0" xfId="0"/>
    <xf numFmtId="0" fontId="1" fillId="3" borderId="1" pivotButton="0" quotePrefix="0" xfId="0"/>
    <xf numFmtId="0" fontId="1" fillId="3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/>
    </xf>
    <xf numFmtId="0" fontId="0" fillId="4" borderId="0" pivotButton="0" quotePrefix="0" xfId="0"/>
    <xf numFmtId="0" fontId="2" fillId="4" borderId="0" pivotButton="0" quotePrefix="0" xfId="0"/>
    <xf numFmtId="0" fontId="0" fillId="4" borderId="1" pivotButton="0" quotePrefix="0" xfId="0"/>
    <xf numFmtId="0" fontId="2" fillId="4" borderId="1" pivotButton="0" quotePrefix="0" xfId="0"/>
    <xf numFmtId="164" fontId="0" fillId="0" borderId="0" pivotButton="0" quotePrefix="0" xfId="0"/>
    <xf numFmtId="164" fontId="0" fillId="0" borderId="1" pivotButton="0" quotePrefix="0" xfId="0"/>
    <xf numFmtId="2" fontId="0" fillId="0" borderId="0" pivotButton="0" quotePrefix="0" xfId="0"/>
    <xf numFmtId="2" fontId="0" fillId="0" borderId="1" pivotButton="0" quotePrefix="0" xfId="0"/>
    <xf numFmtId="3" fontId="0" fillId="0" borderId="0" pivotButton="0" quotePrefix="0" xfId="0"/>
    <xf numFmtId="3" fontId="0" fillId="0" borderId="1" pivotButton="0" quotePrefix="0" xfId="0"/>
    <xf numFmtId="0" fontId="2" fillId="4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3" fontId="0" fillId="0" borderId="0" applyAlignment="1" pivotButton="0" quotePrefix="0" xfId="0">
      <alignment wrapText="1"/>
    </xf>
    <xf numFmtId="0" fontId="2" fillId="4" borderId="1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2" fontId="0" fillId="0" borderId="1" applyAlignment="1" pivotButton="0" quotePrefix="0" xfId="0">
      <alignment wrapText="1"/>
    </xf>
    <xf numFmtId="3" fontId="0" fillId="0" borderId="1" applyAlignment="1" pivotButton="0" quotePrefix="0" xfId="0">
      <alignment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3" fillId="5" borderId="0" applyAlignment="1" pivotButton="0" quotePrefix="0" xfId="0">
      <alignment vertical="top"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  <xf numFmtId="0" fontId="3" fillId="5" borderId="1" applyAlignment="1" pivotButton="0" quotePrefix="0" xfId="0">
      <alignment vertical="top" wrapText="1"/>
    </xf>
    <xf numFmtId="0" fontId="4" fillId="3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5" fillId="6" borderId="2" applyAlignment="1" pivotButton="0" quotePrefix="0" xfId="0">
      <alignment horizontal="center" vertical="center"/>
    </xf>
    <xf numFmtId="0" fontId="6" fillId="4" borderId="2" applyAlignment="1" pivotButton="0" quotePrefix="0" xfId="0">
      <alignment vertical="center" wrapText="1"/>
    </xf>
    <xf numFmtId="1" fontId="7" fillId="0" borderId="2" applyAlignment="1" pivotButton="0" quotePrefix="0" xfId="0">
      <alignment vertical="center" wrapText="1"/>
    </xf>
    <xf numFmtId="0" fontId="3" fillId="5" borderId="2" applyAlignment="1" pivotButton="0" quotePrefix="0" xfId="0">
      <alignment vertical="center" wrapText="1"/>
    </xf>
    <xf numFmtId="2" fontId="7" fillId="0" borderId="2" applyAlignment="1" pivotButton="0" quotePrefix="0" xfId="0">
      <alignment vertical="center" wrapText="1"/>
    </xf>
    <xf numFmtId="165" fontId="7" fillId="0" borderId="2" applyAlignment="1" pivotButton="0" quotePrefix="0" xfId="0">
      <alignment vertical="center" wrapText="1"/>
    </xf>
    <xf numFmtId="3" fontId="7" fillId="0" borderId="2" applyAlignment="1" pivotButton="0" quotePrefix="0" xfId="0">
      <alignment vertical="center" wrapText="1"/>
    </xf>
    <xf numFmtId="0" fontId="8" fillId="0" borderId="2" applyAlignment="1" pivotButton="0" quotePrefix="0" xfId="0">
      <alignment vertical="top" wrapText="1"/>
    </xf>
    <xf numFmtId="0" fontId="5" fillId="6" borderId="2" applyAlignment="1" pivotButton="0" quotePrefix="0" xfId="0">
      <alignment vertical="top" wrapText="1"/>
    </xf>
    <xf numFmtId="0" fontId="9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Agency involvement in Albuquerque fatal shooting records</a:t>
            </a:r>
          </a:p>
        </rich>
      </tx>
    </title>
    <plotArea>
      <layout/>
      <barChart>
        <barDir val="bar"/>
        <grouping val="clustered"/>
        <varyColors val="0"/>
        <ser>
          <idx val="0"/>
          <order val="0"/>
          <tx>
            <v>Rate per 1M</v>
          </tx>
          <spPr>
            <a:ln xmlns:a="http://schemas.openxmlformats.org/drawingml/2006/main">
              <a:prstDash val="solid"/>
            </a:ln>
          </spPr>
          <cat>
            <strRef>
              <f>'Rate Summary'!$A$2:$A$6</f>
              <strCache>
                <ptCount val="0"/>
              </strCache>
            </strRef>
          </cat>
          <val>
            <numRef>
              <f>'Rate Summary'!$D$2:$D$6</f>
              <numCach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Agency</a:t>
                </a:r>
              </a:p>
            </rich>
          </tx>
        </title>
        <numFmt formatCode="0.0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Fatal incidents</a:t>
                </a:r>
              </a:p>
            </rich>
          </tx>
        </title>
        <numFmt formatCode="" sourceLinked="0"/>
        <majorTickMark val="none"/>
        <minorTickMark val="none"/>
        <crossAx val="48650112"/>
        <crosses val="autoZero"/>
        <crossBetween val="between"/>
      </valAx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Albuquerque fatal police shootings by year</a:t>
            </a:r>
          </a:p>
        </rich>
      </tx>
    </title>
    <plotArea>
      <layout/>
      <lineChart>
        <grouping val="standard"/>
        <ser>
          <idx val="0"/>
          <order val="0"/>
          <tx>
            <v>ABQ fatal shootings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'Yearly'!$A$2:$A$11</f>
              <strCache>
                <ptCount val="0"/>
              </strCache>
            </strRef>
          </cat>
          <val>
            <numRef>
              <f>'Yearly'!$B$2:$B$11</f>
              <numCache>
                <formatCode>0</formatCode>
                <ptCount val="0"/>
              </numCache>
            </numRef>
          </val>
          <smooth val="0"/>
        </ser>
        <ser>
          <idx val="1"/>
          <order val="1"/>
          <tx>
            <v>APD-involved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'Yearly'!$A$2:$A$11</f>
              <strCache>
                <ptCount val="0"/>
              </strCache>
            </strRef>
          </cat>
          <val>
            <numRef>
              <f>'Yearly'!$D$2:$D$11</f>
              <numCache>
                <formatCode>0</formatCode>
                <ptCount val="0"/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axId val="48650112"/>
        <axId val="48672768"/>
      </line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numFmt formatCode="0" sourceLinked="0"/>
        <majorTickMark val="none"/>
        <minorTickMark val="none"/>
        <crossAx val="48650112"/>
        <crosses val="autoZero"/>
        <crossBetween val="between"/>
      </valAx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Incident profile counts</a:t>
            </a:r>
          </a:p>
        </rich>
      </tx>
    </title>
    <plotArea>
      <layout/>
      <barChart>
        <barDir val="bar"/>
        <grouping val="clustered"/>
        <varyColors val="0"/>
        <ser>
          <idx val="0"/>
          <order val="0"/>
          <tx>
            <v>Fatal incidents</v>
          </tx>
          <spPr>
            <a:ln xmlns:a="http://schemas.openxmlformats.org/drawingml/2006/main">
              <a:prstDash val="solid"/>
            </a:ln>
          </spPr>
          <cat>
            <strRef>
              <f>'Agency'!$A$2:$A$9</f>
              <strCache>
                <ptCount val="0"/>
              </strCache>
            </strRef>
          </cat>
          <val>
            <numRef>
              <f>'Agency'!$B$2:$B$9</f>
              <numCach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Profile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numFmt formatCode="" sourceLinked="0"/>
        <majorTickMark val="none"/>
        <minorTickMark val="none"/>
        <crossAx val="48650112"/>
        <crosses val="autoZero"/>
        <crossBetween val="between"/>
      </valAx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twoCellAnchor>
    <from>
      <col>8</col>
      <colOff>0</colOff>
      <row>7</row>
      <rowOff>0</rowOff>
    </from>
    <to>
      <col>15</col>
      <colOff>0</colOff>
      <row>23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24</row>
      <rowOff>0</rowOff>
    </from>
    <to>
      <col>7</col>
      <colOff>0</colOff>
      <row>39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8</col>
      <colOff>0</colOff>
      <row>24</row>
      <rowOff>0</rowOff>
    </from>
    <to>
      <col>15</col>
      <colOff>0</colOff>
      <row>39</row>
      <rowOff>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tables/table1.xml><?xml version="1.0" encoding="utf-8"?>
<table xmlns="http://schemas.openxmlformats.org/spreadsheetml/2006/main" id="1" name="RateSummaryTable" displayName="RateSummaryTable" ref="A1:H6" headerRowCount="1">
  <tableColumns count="8">
    <tableColumn id="1" name="unit"/>
    <tableColumn id="2" name="scope"/>
    <tableColumn id="3" name="total_fatal_shootings"/>
    <tableColumn id="4" name="annualized_rate_per_1m"/>
    <tableColumn id="5" name="population_basis"/>
    <tableColumn id="6" name="population_value_used"/>
    <tableColumn id="7" name="rate_ratio_vs_us"/>
    <tableColumn id="8" name="rate_ratio_vs_nm"/>
  </tableColumns>
  <tableStyleInfo name="TableStyleMedium2" showRowStripes="1"/>
</table>
</file>

<file path=xl/tables/table2.xml><?xml version="1.0" encoding="utf-8"?>
<table xmlns="http://schemas.openxmlformats.org/spreadsheetml/2006/main" id="2" name="YearlyTable" displayName="YearlyTable" ref="A1:I11" headerRowCount="1">
  <tableColumns count="9">
    <tableColumn id="1" name="year"/>
    <tableColumn id="2" name="abq_fatal_shootings"/>
    <tableColumn id="3" name="abq_rate_per_1m_const_2024_pop"/>
    <tableColumn id="4" name="apd_involved_fatal_shootings_in_abq"/>
    <tableColumn id="5" name="non_apd_fatal_shootings_in_abq"/>
    <tableColumn id="6" name="gun_involved_count"/>
    <tableColumn id="7" name="unarmed_count"/>
    <tableColumn id="8" name="mental_illness_related_count"/>
    <tableColumn id="9" name="body_camera_count"/>
  </tableColumns>
  <tableStyleInfo name="TableStyleMedium2" showRowStripes="1"/>
</table>
</file>

<file path=xl/tables/table3.xml><?xml version="1.0" encoding="utf-8"?>
<table xmlns="http://schemas.openxmlformats.org/spreadsheetml/2006/main" id="3" name="AgencyTable" displayName="AgencyTable" ref="A1:C7" headerRowCount="1">
  <tableColumns count="3">
    <tableColumn id="1" name="agency_name"/>
    <tableColumn id="2" name="fatal_incidents_in_abq"/>
    <tableColumn id="3" name="share_of_abq_incidents_multiagency_nonexclusive"/>
  </tableColumns>
  <tableStyleInfo name="TableStyleMedium2" showRowStripes="1"/>
</table>
</file>

<file path=xl/tables/table4.xml><?xml version="1.0" encoding="utf-8"?>
<table xmlns="http://schemas.openxmlformats.org/spreadsheetml/2006/main" id="4" name="FeaturesTable" displayName="FeaturesTable" ref="A1:J5" headerRowCount="1">
  <tableColumns count="10">
    <tableColumn id="1" name="unit"/>
    <tableColumn id="2" name="fatal_shootings"/>
    <tableColumn id="3" name="gun_involved_count"/>
    <tableColumn id="4" name="gun_involved_share"/>
    <tableColumn id="5" name="unarmed_count"/>
    <tableColumn id="6" name="unarmed_share"/>
    <tableColumn id="7" name="mental_illness_related_count"/>
    <tableColumn id="8" name="mental_illness_related_share"/>
    <tableColumn id="9" name="body_camera_count"/>
    <tableColumn id="10" name="body_camera_share"/>
  </tableColumns>
  <tableStyleInfo name="TableStyleMedium2" showRowStripes="1"/>
</table>
</file>

<file path=xl/tables/table5.xml><?xml version="1.0" encoding="utf-8"?>
<table xmlns="http://schemas.openxmlformats.org/spreadsheetml/2006/main" id="5" name="IncidentsTable" displayName="IncidentsTable" ref="A1:P78" headerRowCount="1">
  <tableColumns count="16">
    <tableColumn id="1" name="incident_id"/>
    <tableColumn id="2" name="incident_date"/>
    <tableColumn id="3" name="year"/>
    <tableColumn id="4" name="victim_name"/>
    <tableColumn id="5" name="age"/>
    <tableColumn id="6" name="gender"/>
    <tableColumn id="7" name="race_label"/>
    <tableColumn id="8" name="armed_with"/>
    <tableColumn id="9" name="threat_type"/>
    <tableColumn id="10" name="flee_status"/>
    <tableColumn id="11" name="was_mental_illness_related"/>
    <tableColumn id="12" name="body_camera"/>
    <tableColumn id="13" name="apd_involved"/>
    <tableColumn id="14" name="agencies_involved"/>
    <tableColumn id="15" name="latitude"/>
    <tableColumn id="16" name="longitude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14" min="1" max="1"/>
    <col width="18" customWidth="1" style="14" min="2" max="2"/>
    <col width="18" customWidth="1" style="14" min="3" max="3"/>
    <col width="18" customWidth="1" style="14" min="4" max="4"/>
    <col width="18" customWidth="1" style="14" min="5" max="5"/>
    <col width="18" customWidth="1" style="14" min="6" max="6"/>
    <col width="18" customWidth="1" style="14" min="7" max="7"/>
    <col width="18" customWidth="1" style="14" min="8" max="8"/>
    <col width="18" customWidth="1" style="14" min="9" max="9"/>
    <col width="18" customWidth="1" style="14" min="10" max="10"/>
    <col width="18" customWidth="1" style="14" min="11" max="11"/>
    <col width="18" customWidth="1" style="14" min="12" max="12"/>
    <col width="14" customWidth="1" style="14" min="13" max="13"/>
    <col width="14" customWidth="1" style="14" min="14" max="14"/>
    <col width="14" customWidth="1" style="14" min="15" max="15"/>
  </cols>
  <sheetData>
    <row r="1" ht="20" customHeight="1" s="14">
      <c r="A1" s="54" t="inlineStr">
        <is>
          <t>Albuquerque Fatal Police Shootings Focus Dashboard</t>
        </is>
      </c>
      <c r="B1" s="66" t="n"/>
      <c r="C1" s="66" t="n"/>
      <c r="D1" s="66" t="n"/>
      <c r="E1" s="66" t="n"/>
      <c r="F1" s="66" t="n"/>
      <c r="G1" s="66" t="n"/>
      <c r="H1" s="66" t="n"/>
      <c r="I1" s="66" t="n"/>
      <c r="J1" s="66" t="n"/>
      <c r="K1" s="66" t="n"/>
      <c r="L1" s="66" t="n"/>
      <c r="M1" s="66" t="n"/>
      <c r="N1" s="66" t="n"/>
      <c r="O1" s="67" t="n"/>
    </row>
    <row r="2" ht="20" customHeight="1" s="14">
      <c r="A2" s="55" t="n"/>
      <c r="B2" s="55" t="n"/>
      <c r="C2" s="55" t="n"/>
      <c r="D2" s="55" t="n"/>
    </row>
    <row r="3" ht="20" customHeight="1" s="14">
      <c r="A3" s="56" t="inlineStr">
        <is>
          <t>KPI</t>
        </is>
      </c>
      <c r="B3" s="56" t="inlineStr">
        <is>
          <t>Value</t>
        </is>
      </c>
      <c r="C3" s="55" t="n"/>
      <c r="D3" s="56" t="inlineStr">
        <is>
          <t>Interpretation notes</t>
        </is>
      </c>
      <c r="E3" s="66" t="n"/>
      <c r="F3" s="66" t="n"/>
      <c r="G3" s="66" t="n"/>
      <c r="H3" s="66" t="n"/>
      <c r="I3" s="66" t="n"/>
      <c r="J3" s="66" t="n"/>
      <c r="K3" s="66" t="n"/>
      <c r="L3" s="66" t="n"/>
      <c r="M3" s="66" t="n"/>
      <c r="N3" s="66" t="n"/>
      <c r="O3" s="67" t="n"/>
    </row>
    <row r="4" ht="20" customHeight="1" s="14">
      <c r="A4" s="57" t="inlineStr">
        <is>
          <t>Albuquerque fatal shootings, 2015-2024</t>
        </is>
      </c>
      <c r="B4" s="58">
        <f>'Rate Summary'!C4</f>
        <v/>
      </c>
      <c r="C4" s="55" t="n"/>
      <c r="D4" s="59" t="inlineStr">
        <is>
          <t>City rates use the 2024 Census QuickFacts Albuquerque population as a constant denominator. Replace with annual city estimates for a final publication model.</t>
        </is>
      </c>
      <c r="E4" s="66" t="n"/>
      <c r="F4" s="66" t="n"/>
      <c r="G4" s="66" t="n"/>
      <c r="H4" s="66" t="n"/>
      <c r="I4" s="66" t="n"/>
      <c r="J4" s="66" t="n"/>
      <c r="K4" s="66" t="n"/>
      <c r="L4" s="66" t="n"/>
      <c r="M4" s="66" t="n"/>
      <c r="N4" s="66" t="n"/>
      <c r="O4" s="67" t="n"/>
    </row>
    <row r="5" ht="20" customHeight="1" s="14">
      <c r="A5" s="57" t="inlineStr">
        <is>
          <t>Albuquerque annualized rate per 1M</t>
        </is>
      </c>
      <c r="B5" s="60">
        <f>'Rate Summary'!D4</f>
        <v/>
      </c>
      <c r="C5" s="55" t="n"/>
      <c r="D5" s="59" t="inlineStr">
        <is>
          <t>Agency counts are incident-level and non-exclusive: multi-agency incidents can count for more than one agency.</t>
        </is>
      </c>
      <c r="E5" s="66" t="n"/>
      <c r="F5" s="66" t="n"/>
      <c r="G5" s="66" t="n"/>
      <c r="H5" s="66" t="n"/>
      <c r="I5" s="66" t="n"/>
      <c r="J5" s="66" t="n"/>
      <c r="K5" s="66" t="n"/>
      <c r="L5" s="66" t="n"/>
      <c r="M5" s="66" t="n"/>
      <c r="N5" s="66" t="n"/>
      <c r="O5" s="67" t="n"/>
    </row>
    <row r="6" ht="20" customHeight="1" s="14">
      <c r="A6" s="57" t="inlineStr">
        <is>
          <t>APD-involved fatal shootings in Albuquerque</t>
        </is>
      </c>
      <c r="B6" s="58">
        <f>'Rate Summary'!C5</f>
        <v/>
      </c>
      <c r="C6" s="55" t="n"/>
      <c r="D6" s="59" t="inlineStr">
        <is>
          <t>Fatal shooting counts are outcome counts, not misconduct findings. Add calls for service, arrests, violent crime, mental-health calls, and staffing before making causal claims.</t>
        </is>
      </c>
      <c r="E6" s="66" t="n"/>
      <c r="F6" s="66" t="n"/>
      <c r="G6" s="66" t="n"/>
      <c r="H6" s="66" t="n"/>
      <c r="I6" s="66" t="n"/>
      <c r="J6" s="66" t="n"/>
      <c r="K6" s="66" t="n"/>
      <c r="L6" s="66" t="n"/>
      <c r="M6" s="66" t="n"/>
      <c r="N6" s="66" t="n"/>
      <c r="O6" s="67" t="n"/>
    </row>
    <row r="7" ht="20" customHeight="1" s="14">
      <c r="A7" s="57" t="inlineStr">
        <is>
          <t>APD-involved share of ABQ incidents</t>
        </is>
      </c>
      <c r="B7" s="61">
        <f>'Rate Summary'!C5/'Rate Summary'!C4</f>
        <v/>
      </c>
      <c r="C7" s="55" t="n"/>
      <c r="D7" s="55" t="n"/>
    </row>
    <row r="8" ht="20" customHeight="1" s="14">
      <c r="A8" s="57" t="inlineStr">
        <is>
          <t>ABQ rate ratio vs U.S.</t>
        </is>
      </c>
      <c r="B8" s="60">
        <f>'Rate Summary'!G4</f>
        <v/>
      </c>
      <c r="C8" s="55" t="n"/>
      <c r="D8" s="55" t="n"/>
    </row>
    <row r="9" ht="20" customHeight="1" s="14">
      <c r="A9" s="57" t="inlineStr">
        <is>
          <t>ABQ rate ratio vs New Mexico</t>
        </is>
      </c>
      <c r="B9" s="60">
        <f>'Rate Summary'!H4</f>
        <v/>
      </c>
      <c r="C9" s="55" t="n"/>
      <c r="D9" s="55" t="n"/>
    </row>
    <row r="10" ht="20" customHeight="1" s="14">
      <c r="A10" s="57" t="inlineStr">
        <is>
          <t>Population denominator used</t>
        </is>
      </c>
      <c r="B10" s="62">
        <f>'Rate Summary'!F4</f>
        <v/>
      </c>
      <c r="C10" s="55" t="n"/>
      <c r="D10" s="55" t="n"/>
    </row>
    <row r="11" ht="20" customHeight="1" s="14">
      <c r="A11" s="55" t="n"/>
      <c r="B11" s="55" t="n"/>
      <c r="C11" s="55" t="n"/>
      <c r="D11" s="63" t="inlineStr">
        <is>
          <t>Review note: Albuquerque values are city-record filters from the fatal police shooting dataset. APD-involved counts are non-exclusive when incidents involve multiple agencies.</t>
        </is>
      </c>
    </row>
    <row r="12" ht="20" customHeight="1" s="14"/>
    <row r="13" ht="20" customHeight="1" s="14">
      <c r="A13" s="18" t="inlineStr">
        <is>
          <t>year</t>
        </is>
      </c>
      <c r="B13" s="18" t="inlineStr">
        <is>
          <t>abq_fatal_shootings</t>
        </is>
      </c>
      <c r="C13" s="18" t="inlineStr">
        <is>
          <t>apd_involved_fatal_shootings_in_abq</t>
        </is>
      </c>
      <c r="D13" s="18" t="inlineStr">
        <is>
          <t>non_apd_fatal_shootings_in_abq</t>
        </is>
      </c>
      <c r="F13" s="18" t="inlineStr">
        <is>
          <t>agency_name</t>
        </is>
      </c>
      <c r="G13" s="18" t="inlineStr">
        <is>
          <t>fatal_incidents_in_abq</t>
        </is>
      </c>
    </row>
    <row r="14" ht="20" customHeight="1" s="14">
      <c r="A14" s="16" t="n">
        <v>2015</v>
      </c>
      <c r="B14" s="16" t="n">
        <v>5</v>
      </c>
      <c r="C14" s="16" t="n">
        <v>3</v>
      </c>
      <c r="D14" s="16" t="n">
        <v>2</v>
      </c>
      <c r="F14" s="16" t="inlineStr">
        <is>
          <t>Albuquerque Police Department</t>
        </is>
      </c>
      <c r="G14" s="16" t="n">
        <v>51</v>
      </c>
    </row>
    <row r="15" ht="20" customHeight="1" s="14">
      <c r="A15" s="16" t="n">
        <v>2016</v>
      </c>
      <c r="B15" s="16" t="n">
        <v>6</v>
      </c>
      <c r="C15" s="16" t="n">
        <v>4</v>
      </c>
      <c r="D15" s="16" t="n">
        <v>2</v>
      </c>
      <c r="F15" s="16" t="inlineStr">
        <is>
          <t>Bernalillo County Sheriff's Department</t>
        </is>
      </c>
      <c r="G15" s="16" t="n">
        <v>17</v>
      </c>
    </row>
    <row r="16" ht="20" customHeight="1" s="14">
      <c r="A16" s="16" t="n">
        <v>2017</v>
      </c>
      <c r="B16" s="16" t="n">
        <v>8</v>
      </c>
      <c r="C16" s="16" t="n">
        <v>2</v>
      </c>
      <c r="D16" s="16" t="n">
        <v>6</v>
      </c>
      <c r="F16" s="16" t="inlineStr">
        <is>
          <t>New Mexico State Police</t>
        </is>
      </c>
      <c r="G16" s="16" t="n">
        <v>6</v>
      </c>
    </row>
    <row r="17" ht="20" customHeight="1" s="14">
      <c r="A17" s="16" t="n">
        <v>2018</v>
      </c>
      <c r="B17" s="16" t="n">
        <v>9</v>
      </c>
      <c r="C17" s="16" t="n">
        <v>7</v>
      </c>
      <c r="D17" s="16" t="n">
        <v>2</v>
      </c>
      <c r="F17" s="16" t="inlineStr">
        <is>
          <t>U.S. Marshals Service</t>
        </is>
      </c>
      <c r="G17" s="16" t="n">
        <v>4</v>
      </c>
    </row>
    <row r="18" ht="20" customHeight="1" s="14">
      <c r="A18" s="16" t="n">
        <v>2019</v>
      </c>
      <c r="B18" s="16" t="n">
        <v>5</v>
      </c>
      <c r="C18" s="16" t="n">
        <v>4</v>
      </c>
      <c r="D18" s="16" t="n">
        <v>1</v>
      </c>
      <c r="F18" s="16" t="inlineStr">
        <is>
          <t>Federal Bureau of Investigation</t>
        </is>
      </c>
      <c r="G18" s="16" t="n">
        <v>2</v>
      </c>
    </row>
    <row r="19" ht="20" customHeight="1" s="14">
      <c r="A19" s="16" t="n">
        <v>2020</v>
      </c>
      <c r="B19" s="16" t="n">
        <v>6</v>
      </c>
      <c r="C19" s="16" t="n">
        <v>5</v>
      </c>
      <c r="D19" s="16" t="n">
        <v>1</v>
      </c>
      <c r="F19" s="16" t="inlineStr">
        <is>
          <t>Rio Rancho Police Department</t>
        </is>
      </c>
      <c r="G19" s="16" t="n">
        <v>1</v>
      </c>
    </row>
    <row r="20" ht="20" customHeight="1" s="14">
      <c r="A20" s="16" t="n">
        <v>2021</v>
      </c>
      <c r="B20" s="16" t="n">
        <v>6</v>
      </c>
      <c r="C20" s="16" t="n">
        <v>2</v>
      </c>
      <c r="D20" s="16" t="n">
        <v>4</v>
      </c>
      <c r="F20" s="16" t="n"/>
      <c r="G20" s="16" t="n"/>
    </row>
    <row r="21" ht="20" customHeight="1" s="14">
      <c r="A21" s="16" t="n">
        <v>2022</v>
      </c>
      <c r="B21" s="16" t="n">
        <v>14</v>
      </c>
      <c r="C21" s="16" t="n">
        <v>10</v>
      </c>
      <c r="D21" s="16" t="n">
        <v>4</v>
      </c>
      <c r="F21" s="16" t="n"/>
      <c r="G21" s="16" t="n"/>
    </row>
    <row r="22" ht="20" customHeight="1" s="14">
      <c r="A22" s="16" t="n">
        <v>2023</v>
      </c>
      <c r="B22" s="16" t="n">
        <v>9</v>
      </c>
      <c r="C22" s="16" t="n">
        <v>6</v>
      </c>
      <c r="D22" s="16" t="n">
        <v>3</v>
      </c>
    </row>
    <row r="23" ht="20" customHeight="1" s="14">
      <c r="A23" s="16" t="n">
        <v>2024</v>
      </c>
      <c r="B23" s="16" t="n">
        <v>9</v>
      </c>
      <c r="C23" s="16" t="n">
        <v>8</v>
      </c>
      <c r="D23" s="16" t="n">
        <v>1</v>
      </c>
    </row>
  </sheetData>
  <mergeCells count="5">
    <mergeCell ref="D5:O5"/>
    <mergeCell ref="A1:O1"/>
    <mergeCell ref="D4:O4"/>
    <mergeCell ref="D3:O3"/>
    <mergeCell ref="D6:O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14" min="1" max="1"/>
    <col width="18" customWidth="1" style="14" min="2" max="2"/>
    <col width="18" customWidth="1" style="14" min="3" max="3"/>
    <col width="18" customWidth="1" style="14" min="4" max="4"/>
    <col width="18" customWidth="1" style="14" min="5" max="5"/>
    <col width="18" customWidth="1" style="14" min="6" max="6"/>
    <col width="18" customWidth="1" style="14" min="7" max="7"/>
    <col width="18" customWidth="1" style="14" min="8" max="8"/>
    <col width="18" customWidth="1" style="14" min="9" max="9"/>
    <col width="18" customWidth="1" style="14" min="10" max="10"/>
    <col width="18" customWidth="1" style="14" min="11" max="11"/>
    <col width="18" customWidth="1" style="14" min="12" max="12"/>
  </cols>
  <sheetData>
    <row r="1">
      <c r="A1" s="10" t="inlineStr">
        <is>
          <t>unit</t>
        </is>
      </c>
      <c r="B1" s="10" t="inlineStr">
        <is>
          <t>scope</t>
        </is>
      </c>
      <c r="C1" s="10" t="inlineStr">
        <is>
          <t>total_fatal_shootings</t>
        </is>
      </c>
      <c r="D1" s="10" t="inlineStr">
        <is>
          <t>annualized_rate_per_1m</t>
        </is>
      </c>
      <c r="E1" s="10" t="inlineStr">
        <is>
          <t>population_basis</t>
        </is>
      </c>
      <c r="F1" s="10" t="inlineStr">
        <is>
          <t>population_value_used</t>
        </is>
      </c>
      <c r="G1" s="10" t="inlineStr">
        <is>
          <t>rate_ratio_vs_us</t>
        </is>
      </c>
      <c r="H1" s="10" t="inlineStr">
        <is>
          <t>rate_ratio_vs_nm</t>
        </is>
      </c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</row>
    <row r="2">
      <c r="A2" s="16" t="inlineStr">
        <is>
          <t>United States</t>
        </is>
      </c>
      <c r="B2" s="16" t="inlineStr">
        <is>
          <t>National baseline</t>
        </is>
      </c>
      <c r="C2" s="16" t="n">
        <v>10430</v>
      </c>
      <c r="D2" s="16" t="n">
        <v>3.162597097567903</v>
      </c>
      <c r="E2" s="16" t="inlineStr">
        <is>
          <t>sum of state population person-years, 2015-2024</t>
        </is>
      </c>
      <c r="F2" s="16" t="n">
        <v>329792246</v>
      </c>
      <c r="G2" s="16" t="n">
        <v>1</v>
      </c>
      <c r="H2" s="16" t="n">
        <v>0.3040859204167974</v>
      </c>
    </row>
    <row r="3">
      <c r="A3" s="16" t="inlineStr">
        <is>
          <t>New Mexico</t>
        </is>
      </c>
      <c r="B3" s="16" t="inlineStr">
        <is>
          <t>State baseline</t>
        </is>
      </c>
      <c r="C3" s="16" t="n">
        <v>219</v>
      </c>
      <c r="D3" s="16" t="n">
        <v>10.40034044730867</v>
      </c>
      <c r="E3" s="16" t="inlineStr">
        <is>
          <t>sum of annual NM population person-years, 2015-2024</t>
        </is>
      </c>
      <c r="F3" s="16" t="n">
        <v>2105700</v>
      </c>
      <c r="G3" s="16" t="n">
        <v>3.288544233252704</v>
      </c>
      <c r="H3" s="16" t="n">
        <v>1</v>
      </c>
    </row>
    <row r="4">
      <c r="A4" s="16" t="inlineStr">
        <is>
          <t>Albuquerque city</t>
        </is>
      </c>
      <c r="B4" s="16" t="inlineStr">
        <is>
          <t>City within NM</t>
        </is>
      </c>
      <c r="C4" s="16" t="n">
        <v>77</v>
      </c>
      <c r="D4" s="16" t="n">
        <v>13.74200019274494</v>
      </c>
      <c r="E4" s="16" t="inlineStr">
        <is>
          <t>constant 2024 Census QuickFacts city population denominator</t>
        </is>
      </c>
      <c r="F4" s="16" t="n">
        <v>560326</v>
      </c>
      <c r="G4" s="16" t="n">
        <v>4.345163095012259</v>
      </c>
      <c r="H4" s="16" t="n">
        <v>1.321302919107903</v>
      </c>
    </row>
    <row r="5">
      <c r="A5" s="16" t="inlineStr">
        <is>
          <t>APD-involved, Albuquerque city</t>
        </is>
      </c>
      <c r="B5" s="16" t="inlineStr">
        <is>
          <t>Agency involvement within city records</t>
        </is>
      </c>
      <c r="C5" s="16" t="n">
        <v>51</v>
      </c>
      <c r="D5" s="16" t="n">
        <v>9.101844283506386</v>
      </c>
      <c r="E5" s="16" t="inlineStr">
        <is>
          <t>constant 2024 Census QuickFacts city population denominator</t>
        </is>
      </c>
      <c r="F5" s="16" t="n">
        <v>560326</v>
      </c>
      <c r="G5" s="16" t="n">
        <v>2.877965166826301</v>
      </c>
      <c r="H5" s="16" t="n">
        <v>0.8751486866818577</v>
      </c>
    </row>
    <row r="6">
      <c r="A6" s="16" t="inlineStr">
        <is>
          <t>Rest of New Mexico excluding Albuquerque city records</t>
        </is>
      </c>
      <c r="B6" s="16" t="inlineStr">
        <is>
          <t>Approximate non-ABQ remainder</t>
        </is>
      </c>
      <c r="C6" s="16" t="n">
        <v>142</v>
      </c>
      <c r="D6" s="16" t="n">
        <v>9.188714188280636</v>
      </c>
      <c r="E6" s="16" t="inlineStr">
        <is>
          <t>constant 2024 NM population minus constant 2024 Albuquerque city population</t>
        </is>
      </c>
      <c r="F6" s="16" t="n">
        <v>1545374</v>
      </c>
      <c r="G6" s="16" t="n">
        <v>2.905433068077793</v>
      </c>
      <c r="H6" s="16" t="n">
        <v>0.8835012887158354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14" min="1" max="1"/>
    <col width="18" customWidth="1" style="14" min="2" max="2"/>
    <col width="18" customWidth="1" style="14" min="3" max="3"/>
    <col width="18" customWidth="1" style="14" min="4" max="4"/>
    <col width="18" customWidth="1" style="14" min="5" max="5"/>
    <col width="18" customWidth="1" style="14" min="6" max="6"/>
    <col width="18" customWidth="1" style="14" min="7" max="7"/>
    <col width="18" customWidth="1" style="14" min="8" max="8"/>
    <col width="18" customWidth="1" style="14" min="9" max="9"/>
    <col width="18" customWidth="1" style="14" min="10" max="10"/>
    <col width="18" customWidth="1" style="14" min="11" max="11"/>
    <col width="18" customWidth="1" style="14" min="12" max="12"/>
  </cols>
  <sheetData>
    <row r="1">
      <c r="A1" s="10" t="inlineStr">
        <is>
          <t>year</t>
        </is>
      </c>
      <c r="B1" s="10" t="inlineStr">
        <is>
          <t>abq_fatal_shootings</t>
        </is>
      </c>
      <c r="C1" s="10" t="inlineStr">
        <is>
          <t>abq_rate_per_1m_const_2024_pop</t>
        </is>
      </c>
      <c r="D1" s="10" t="inlineStr">
        <is>
          <t>apd_involved_fatal_shootings_in_abq</t>
        </is>
      </c>
      <c r="E1" s="10" t="inlineStr">
        <is>
          <t>non_apd_fatal_shootings_in_abq</t>
        </is>
      </c>
      <c r="F1" s="10" t="inlineStr">
        <is>
          <t>gun_involved_count</t>
        </is>
      </c>
      <c r="G1" s="10" t="inlineStr">
        <is>
          <t>unarmed_count</t>
        </is>
      </c>
      <c r="H1" s="10" t="inlineStr">
        <is>
          <t>mental_illness_related_count</t>
        </is>
      </c>
      <c r="I1" s="10" t="inlineStr">
        <is>
          <t>body_camera_count</t>
        </is>
      </c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</row>
    <row r="2">
      <c r="A2" s="16" t="n">
        <v>2015</v>
      </c>
      <c r="B2" s="16" t="n">
        <v>5</v>
      </c>
      <c r="C2" s="16" t="n">
        <v>8.923376748535675</v>
      </c>
      <c r="D2" s="16" t="n">
        <v>3</v>
      </c>
      <c r="E2" s="16" t="n">
        <v>2</v>
      </c>
      <c r="F2" s="16" t="n">
        <v>4</v>
      </c>
      <c r="G2" s="16" t="n">
        <v>0</v>
      </c>
      <c r="H2" s="16" t="n">
        <v>0</v>
      </c>
      <c r="I2" s="16" t="n">
        <v>3</v>
      </c>
    </row>
    <row r="3">
      <c r="A3" s="16" t="n">
        <v>2016</v>
      </c>
      <c r="B3" s="16" t="n">
        <v>6</v>
      </c>
      <c r="C3" s="16" t="n">
        <v>10.70805209824281</v>
      </c>
      <c r="D3" s="16" t="n">
        <v>4</v>
      </c>
      <c r="E3" s="16" t="n">
        <v>2</v>
      </c>
      <c r="F3" s="16" t="n">
        <v>6</v>
      </c>
      <c r="G3" s="16" t="n">
        <v>0</v>
      </c>
      <c r="H3" s="16" t="n">
        <v>2</v>
      </c>
      <c r="I3" s="16" t="n">
        <v>2</v>
      </c>
    </row>
    <row r="4">
      <c r="A4" s="16" t="n">
        <v>2017</v>
      </c>
      <c r="B4" s="16" t="n">
        <v>8</v>
      </c>
      <c r="C4" s="16" t="n">
        <v>14.27740279765708</v>
      </c>
      <c r="D4" s="16" t="n">
        <v>2</v>
      </c>
      <c r="E4" s="16" t="n">
        <v>6</v>
      </c>
      <c r="F4" s="16" t="n">
        <v>3</v>
      </c>
      <c r="G4" s="16" t="n">
        <v>2</v>
      </c>
      <c r="H4" s="16" t="n">
        <v>0</v>
      </c>
      <c r="I4" s="16" t="n">
        <v>1</v>
      </c>
    </row>
    <row r="5">
      <c r="A5" s="16" t="n">
        <v>2018</v>
      </c>
      <c r="B5" s="16" t="n">
        <v>9</v>
      </c>
      <c r="C5" s="16" t="n">
        <v>16.06207814736421</v>
      </c>
      <c r="D5" s="16" t="n">
        <v>7</v>
      </c>
      <c r="E5" s="16" t="n">
        <v>2</v>
      </c>
      <c r="F5" s="16" t="n">
        <v>7</v>
      </c>
      <c r="G5" s="16" t="n">
        <v>1</v>
      </c>
      <c r="H5" s="16" t="n">
        <v>2</v>
      </c>
      <c r="I5" s="16" t="n">
        <v>0</v>
      </c>
    </row>
    <row r="6">
      <c r="A6" s="16" t="n">
        <v>2019</v>
      </c>
      <c r="B6" s="16" t="n">
        <v>5</v>
      </c>
      <c r="C6" s="16" t="n">
        <v>8.923376748535675</v>
      </c>
      <c r="D6" s="16" t="n">
        <v>4</v>
      </c>
      <c r="E6" s="16" t="n">
        <v>1</v>
      </c>
      <c r="F6" s="16" t="n">
        <v>3</v>
      </c>
      <c r="G6" s="16" t="n">
        <v>0</v>
      </c>
      <c r="H6" s="16" t="n">
        <v>1</v>
      </c>
      <c r="I6" s="16" t="n">
        <v>0</v>
      </c>
    </row>
    <row r="7">
      <c r="A7" s="16" t="n">
        <v>2020</v>
      </c>
      <c r="B7" s="16" t="n">
        <v>6</v>
      </c>
      <c r="C7" s="16" t="n">
        <v>10.70805209824281</v>
      </c>
      <c r="D7" s="16" t="n">
        <v>5</v>
      </c>
      <c r="E7" s="16" t="n">
        <v>1</v>
      </c>
      <c r="F7" s="16" t="n">
        <v>5</v>
      </c>
      <c r="G7" s="16" t="n">
        <v>0</v>
      </c>
      <c r="H7" s="16" t="n">
        <v>1</v>
      </c>
      <c r="I7" s="16" t="n">
        <v>0</v>
      </c>
    </row>
    <row r="8">
      <c r="A8" s="16" t="n">
        <v>2021</v>
      </c>
      <c r="B8" s="16" t="n">
        <v>6</v>
      </c>
      <c r="C8" s="16" t="n">
        <v>10.70805209824281</v>
      </c>
      <c r="D8" s="16" t="n">
        <v>2</v>
      </c>
      <c r="E8" s="16" t="n">
        <v>4</v>
      </c>
      <c r="F8" s="16" t="n">
        <v>4</v>
      </c>
      <c r="G8" s="16" t="n">
        <v>1</v>
      </c>
      <c r="H8" s="16" t="n">
        <v>1</v>
      </c>
      <c r="I8" s="16" t="n">
        <v>4</v>
      </c>
    </row>
    <row r="9">
      <c r="A9" s="16" t="n">
        <v>2022</v>
      </c>
      <c r="B9" s="16" t="n">
        <v>14</v>
      </c>
      <c r="C9" s="16" t="n">
        <v>24.98545489589989</v>
      </c>
      <c r="D9" s="16" t="n">
        <v>10</v>
      </c>
      <c r="E9" s="16" t="n">
        <v>4</v>
      </c>
      <c r="F9" s="16" t="n">
        <v>7</v>
      </c>
      <c r="G9" s="16" t="n">
        <v>1</v>
      </c>
      <c r="H9" s="16" t="n">
        <v>5</v>
      </c>
      <c r="I9" s="16" t="n">
        <v>2</v>
      </c>
    </row>
    <row r="10">
      <c r="A10" s="16" t="n">
        <v>2023</v>
      </c>
      <c r="B10" s="16" t="n">
        <v>9</v>
      </c>
      <c r="C10" s="16" t="n">
        <v>16.06207814736421</v>
      </c>
      <c r="D10" s="16" t="n">
        <v>6</v>
      </c>
      <c r="E10" s="16" t="n">
        <v>3</v>
      </c>
      <c r="F10" s="16" t="n">
        <v>4</v>
      </c>
      <c r="G10" s="16" t="n">
        <v>0</v>
      </c>
      <c r="H10" s="16" t="n">
        <v>3</v>
      </c>
      <c r="I10" s="16" t="n">
        <v>2</v>
      </c>
    </row>
    <row r="11">
      <c r="A11" s="16" t="n">
        <v>2024</v>
      </c>
      <c r="B11" s="16" t="n">
        <v>9</v>
      </c>
      <c r="C11" s="16" t="n">
        <v>16.06207814736421</v>
      </c>
      <c r="D11" s="16" t="n">
        <v>8</v>
      </c>
      <c r="E11" s="16" t="n">
        <v>1</v>
      </c>
      <c r="F11" s="16" t="n">
        <v>7</v>
      </c>
      <c r="G11" s="16" t="n">
        <v>1</v>
      </c>
      <c r="H11" s="16" t="n">
        <v>0</v>
      </c>
      <c r="I11" s="16" t="n">
        <v>1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14" min="1" max="1"/>
    <col width="18" customWidth="1" style="14" min="2" max="2"/>
    <col width="18" customWidth="1" style="14" min="3" max="3"/>
    <col width="18" customWidth="1" style="14" min="4" max="4"/>
    <col width="18" customWidth="1" style="14" min="5" max="5"/>
    <col width="18" customWidth="1" style="14" min="6" max="6"/>
    <col width="18" customWidth="1" style="14" min="7" max="7"/>
    <col width="18" customWidth="1" style="14" min="8" max="8"/>
    <col width="18" customWidth="1" style="14" min="9" max="9"/>
    <col width="18" customWidth="1" style="14" min="10" max="10"/>
    <col width="18" customWidth="1" style="14" min="11" max="11"/>
    <col width="18" customWidth="1" style="14" min="12" max="12"/>
  </cols>
  <sheetData>
    <row r="1">
      <c r="A1" s="10" t="inlineStr">
        <is>
          <t>agency_name</t>
        </is>
      </c>
      <c r="B1" s="10" t="inlineStr">
        <is>
          <t>fatal_incidents_in_abq</t>
        </is>
      </c>
      <c r="C1" s="10" t="inlineStr">
        <is>
          <t>share_of_abq_incidents_multiagency_nonexclusive</t>
        </is>
      </c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</row>
    <row r="2">
      <c r="A2" s="16" t="inlineStr">
        <is>
          <t>Albuquerque Police Department</t>
        </is>
      </c>
      <c r="B2" s="16" t="n">
        <v>51</v>
      </c>
      <c r="C2" s="16" t="n">
        <v>0.6623376623376623</v>
      </c>
    </row>
    <row r="3">
      <c r="A3" s="16" t="inlineStr">
        <is>
          <t>Bernalillo County Sheriff's Department</t>
        </is>
      </c>
      <c r="B3" s="16" t="n">
        <v>17</v>
      </c>
      <c r="C3" s="16" t="n">
        <v>0.2207792207792207</v>
      </c>
    </row>
    <row r="4">
      <c r="A4" s="16" t="inlineStr">
        <is>
          <t>New Mexico State Police</t>
        </is>
      </c>
      <c r="B4" s="16" t="n">
        <v>6</v>
      </c>
      <c r="C4" s="16" t="n">
        <v>0.07792207792207791</v>
      </c>
    </row>
    <row r="5">
      <c r="A5" s="16" t="inlineStr">
        <is>
          <t>U.S. Marshals Service</t>
        </is>
      </c>
      <c r="B5" s="16" t="n">
        <v>4</v>
      </c>
      <c r="C5" s="16" t="n">
        <v>0.0519480519480519</v>
      </c>
    </row>
    <row r="6">
      <c r="A6" s="16" t="inlineStr">
        <is>
          <t>Federal Bureau of Investigation</t>
        </is>
      </c>
      <c r="B6" s="16" t="n">
        <v>2</v>
      </c>
      <c r="C6" s="16" t="n">
        <v>0.0259740259740259</v>
      </c>
    </row>
    <row r="7">
      <c r="A7" s="16" t="inlineStr">
        <is>
          <t>Rio Rancho Police Department</t>
        </is>
      </c>
      <c r="B7" s="16" t="n">
        <v>1</v>
      </c>
      <c r="C7" s="16" t="n">
        <v>0.0129870129870129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14" min="1" max="1"/>
    <col width="18" customWidth="1" style="14" min="2" max="2"/>
    <col width="18" customWidth="1" style="14" min="3" max="3"/>
    <col width="18" customWidth="1" style="14" min="4" max="4"/>
    <col width="18" customWidth="1" style="14" min="5" max="5"/>
    <col width="18" customWidth="1" style="14" min="6" max="6"/>
    <col width="18" customWidth="1" style="14" min="7" max="7"/>
    <col width="18" customWidth="1" style="14" min="8" max="8"/>
    <col width="18" customWidth="1" style="14" min="9" max="9"/>
    <col width="18" customWidth="1" style="14" min="10" max="10"/>
    <col width="18" customWidth="1" style="14" min="11" max="11"/>
    <col width="18" customWidth="1" style="14" min="12" max="12"/>
  </cols>
  <sheetData>
    <row r="1">
      <c r="A1" s="10" t="inlineStr">
        <is>
          <t>unit</t>
        </is>
      </c>
      <c r="B1" s="10" t="inlineStr">
        <is>
          <t>fatal_shootings</t>
        </is>
      </c>
      <c r="C1" s="10" t="inlineStr">
        <is>
          <t>gun_involved_count</t>
        </is>
      </c>
      <c r="D1" s="10" t="inlineStr">
        <is>
          <t>gun_involved_share</t>
        </is>
      </c>
      <c r="E1" s="10" t="inlineStr">
        <is>
          <t>unarmed_count</t>
        </is>
      </c>
      <c r="F1" s="10" t="inlineStr">
        <is>
          <t>unarmed_share</t>
        </is>
      </c>
      <c r="G1" s="10" t="inlineStr">
        <is>
          <t>mental_illness_related_count</t>
        </is>
      </c>
      <c r="H1" s="10" t="inlineStr">
        <is>
          <t>mental_illness_related_share</t>
        </is>
      </c>
      <c r="I1" s="10" t="inlineStr">
        <is>
          <t>body_camera_count</t>
        </is>
      </c>
      <c r="J1" s="10" t="inlineStr">
        <is>
          <t>body_camera_share</t>
        </is>
      </c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</row>
    <row r="2">
      <c r="A2" s="16" t="inlineStr">
        <is>
          <t>Albuquerque city</t>
        </is>
      </c>
      <c r="B2" s="16" t="n">
        <v>77</v>
      </c>
      <c r="C2" s="16" t="n">
        <v>50</v>
      </c>
      <c r="D2" s="16" t="n">
        <v>0.6493506493506493</v>
      </c>
      <c r="E2" s="16" t="n">
        <v>6</v>
      </c>
      <c r="F2" s="16" t="n">
        <v>0.07792207792207791</v>
      </c>
      <c r="G2" s="16" t="n">
        <v>15</v>
      </c>
      <c r="H2" s="16" t="n">
        <v>0.1948051948051948</v>
      </c>
      <c r="I2" s="16" t="n">
        <v>15</v>
      </c>
      <c r="J2" s="16" t="n">
        <v>0.1948051948051948</v>
      </c>
    </row>
    <row r="3">
      <c r="A3" s="16" t="inlineStr">
        <is>
          <t>APD-involved in Albuquerque city</t>
        </is>
      </c>
      <c r="B3" s="16" t="n">
        <v>51</v>
      </c>
      <c r="C3" s="16" t="n">
        <v>37</v>
      </c>
      <c r="D3" s="16" t="n">
        <v>0.7254901960784313</v>
      </c>
      <c r="E3" s="16" t="n">
        <v>3</v>
      </c>
      <c r="F3" s="16" t="n">
        <v>0.0588235294117647</v>
      </c>
      <c r="G3" s="16" t="n">
        <v>10</v>
      </c>
      <c r="H3" s="16" t="n">
        <v>0.196078431372549</v>
      </c>
      <c r="I3" s="16" t="n">
        <v>11</v>
      </c>
      <c r="J3" s="16" t="n">
        <v>0.2156862745098039</v>
      </c>
    </row>
    <row r="4">
      <c r="A4" s="16" t="inlineStr">
        <is>
          <t>New Mexico</t>
        </is>
      </c>
      <c r="B4" s="16" t="n">
        <v>219</v>
      </c>
      <c r="C4" s="16" t="n">
        <v>144</v>
      </c>
      <c r="D4" s="16" t="n">
        <v>0.6575342465753424</v>
      </c>
      <c r="E4" s="16" t="n">
        <v>12</v>
      </c>
      <c r="F4" s="16" t="n">
        <v>0.0547945205479452</v>
      </c>
      <c r="G4" s="16" t="n">
        <v>35</v>
      </c>
      <c r="H4" s="16" t="n">
        <v>0.1598173515981735</v>
      </c>
      <c r="I4" s="16" t="n">
        <v>39</v>
      </c>
      <c r="J4" s="16" t="n">
        <v>0.1780821917808219</v>
      </c>
    </row>
    <row r="5">
      <c r="A5" s="16" t="inlineStr">
        <is>
          <t>United States</t>
        </is>
      </c>
      <c r="B5" s="16" t="n">
        <v>10430</v>
      </c>
      <c r="C5" s="16" t="n">
        <v>6040</v>
      </c>
      <c r="D5" s="16" t="n">
        <v>0.5790987535953979</v>
      </c>
      <c r="E5" s="16" t="n">
        <v>565</v>
      </c>
      <c r="F5" s="16" t="n">
        <v>0.0541706615532118</v>
      </c>
      <c r="G5" s="16" t="n">
        <v>2057</v>
      </c>
      <c r="H5" s="16" t="n">
        <v>0.1972195589645254</v>
      </c>
      <c r="I5" s="16" t="n">
        <v>1799</v>
      </c>
      <c r="J5" s="16" t="n">
        <v>0.17248322147651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14" min="1" max="1"/>
    <col width="18" customWidth="1" style="14" min="2" max="2"/>
    <col width="18" customWidth="1" style="14" min="3" max="3"/>
    <col width="18" customWidth="1" style="14" min="4" max="4"/>
    <col width="18" customWidth="1" style="14" min="5" max="5"/>
    <col width="18" customWidth="1" style="14" min="6" max="6"/>
    <col width="18" customWidth="1" style="14" min="7" max="7"/>
    <col width="18" customWidth="1" style="14" min="8" max="8"/>
    <col width="18" customWidth="1" style="14" min="9" max="9"/>
    <col width="18" customWidth="1" style="14" min="10" max="10"/>
    <col width="18" customWidth="1" style="14" min="11" max="11"/>
    <col width="18" customWidth="1" style="14" min="12" max="12"/>
    <col width="13.59000015258789" customWidth="1" style="14" min="13" max="13"/>
    <col width="57.47000122070312" customWidth="1" style="14" min="14" max="14"/>
    <col width="10.35999965667725" customWidth="1" style="14" min="15" max="15"/>
    <col width="11.03999996185303" customWidth="1" style="14" min="16" max="16"/>
  </cols>
  <sheetData>
    <row r="1">
      <c r="A1" s="10" t="inlineStr">
        <is>
          <t>incident_id</t>
        </is>
      </c>
      <c r="B1" s="10" t="inlineStr">
        <is>
          <t>incident_date</t>
        </is>
      </c>
      <c r="C1" s="10" t="inlineStr">
        <is>
          <t>year</t>
        </is>
      </c>
      <c r="D1" s="10" t="inlineStr">
        <is>
          <t>victim_name</t>
        </is>
      </c>
      <c r="E1" s="10" t="inlineStr">
        <is>
          <t>age</t>
        </is>
      </c>
      <c r="F1" s="10" t="inlineStr">
        <is>
          <t>gender</t>
        </is>
      </c>
      <c r="G1" s="10" t="inlineStr">
        <is>
          <t>race_label</t>
        </is>
      </c>
      <c r="H1" s="10" t="inlineStr">
        <is>
          <t>armed_with</t>
        </is>
      </c>
      <c r="I1" s="10" t="inlineStr">
        <is>
          <t>threat_type</t>
        </is>
      </c>
      <c r="J1" s="10" t="inlineStr">
        <is>
          <t>flee_status</t>
        </is>
      </c>
      <c r="K1" s="10" t="inlineStr">
        <is>
          <t>was_mental_illness_related</t>
        </is>
      </c>
      <c r="L1" s="10" t="inlineStr">
        <is>
          <t>body_camera</t>
        </is>
      </c>
      <c r="M1" s="10" t="inlineStr">
        <is>
          <t>apd_involved</t>
        </is>
      </c>
      <c r="N1" s="10" t="inlineStr">
        <is>
          <t>agencies_involved</t>
        </is>
      </c>
      <c r="O1" s="10" t="inlineStr">
        <is>
          <t>latitude</t>
        </is>
      </c>
      <c r="P1" s="10" t="inlineStr">
        <is>
          <t>longitude</t>
        </is>
      </c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</row>
    <row r="2">
      <c r="A2" s="16" t="n">
        <v>46</v>
      </c>
      <c r="B2" s="16" t="inlineStr">
        <is>
          <t>2015-01-13</t>
        </is>
      </c>
      <c r="C2" s="16" t="n">
        <v>2015</v>
      </c>
      <c r="D2" s="16" t="inlineStr">
        <is>
          <t>John Edward O'Keefe</t>
        </is>
      </c>
      <c r="E2" s="16" t="n">
        <v>34</v>
      </c>
      <c r="F2" s="16" t="inlineStr">
        <is>
          <t>male</t>
        </is>
      </c>
      <c r="G2" s="16" t="inlineStr">
        <is>
          <t>White</t>
        </is>
      </c>
      <c r="H2" s="16" t="inlineStr">
        <is>
          <t>gun</t>
        </is>
      </c>
      <c r="I2" s="16" t="inlineStr">
        <is>
          <t>shoot</t>
        </is>
      </c>
      <c r="J2" s="16" t="inlineStr">
        <is>
          <t>foot</t>
        </is>
      </c>
      <c r="K2" s="16" t="b">
        <v>0</v>
      </c>
      <c r="L2" s="16" t="b">
        <v>1</v>
      </c>
      <c r="M2" s="16" t="b">
        <v>1</v>
      </c>
      <c r="N2" s="16" t="inlineStr">
        <is>
          <t>Albuquerque Police Department</t>
        </is>
      </c>
      <c r="O2" s="16" t="n">
        <v>35.094656</v>
      </c>
      <c r="P2" s="16" t="n">
        <v>-106.586248</v>
      </c>
    </row>
    <row r="3">
      <c r="A3" s="16" t="n">
        <v>445</v>
      </c>
      <c r="B3" s="16" t="inlineStr">
        <is>
          <t>2015-05-03</t>
        </is>
      </c>
      <c r="C3" s="16" t="n">
        <v>2015</v>
      </c>
      <c r="D3" s="16" t="inlineStr">
        <is>
          <t>Billy Grimm</t>
        </is>
      </c>
      <c r="E3" s="16" t="n">
        <v>44</v>
      </c>
      <c r="F3" s="16" t="inlineStr">
        <is>
          <t>male</t>
        </is>
      </c>
      <c r="G3" s="16" t="inlineStr">
        <is>
          <t>Hispanic</t>
        </is>
      </c>
      <c r="H3" s="16" t="inlineStr">
        <is>
          <t>gun</t>
        </is>
      </c>
      <c r="I3" s="16" t="inlineStr">
        <is>
          <t>point</t>
        </is>
      </c>
      <c r="J3" s="16" t="inlineStr">
        <is>
          <t>not_fleeing</t>
        </is>
      </c>
      <c r="K3" s="16" t="b">
        <v>0</v>
      </c>
      <c r="L3" s="16" t="b">
        <v>0</v>
      </c>
      <c r="M3" s="16" t="b">
        <v>0</v>
      </c>
      <c r="N3" s="16" t="inlineStr">
        <is>
          <t>Bernalillo County Sheriff's Department</t>
        </is>
      </c>
      <c r="O3" s="16" t="n">
        <v>35.051983</v>
      </c>
      <c r="P3" s="16" t="n">
        <v>-106.68746</v>
      </c>
    </row>
    <row r="4">
      <c r="A4" s="16" t="n">
        <v>692</v>
      </c>
      <c r="B4" s="16" t="inlineStr">
        <is>
          <t>2015-07-31</t>
        </is>
      </c>
      <c r="C4" s="16" t="n">
        <v>2015</v>
      </c>
      <c r="D4" s="16" t="inlineStr">
        <is>
          <t>Rafael Molina Jr.</t>
        </is>
      </c>
      <c r="E4" s="16" t="n">
        <v>33</v>
      </c>
      <c r="F4" s="16" t="inlineStr">
        <is>
          <t>male</t>
        </is>
      </c>
      <c r="G4" s="16" t="inlineStr">
        <is>
          <t>Hispanic</t>
        </is>
      </c>
      <c r="H4" s="16" t="inlineStr">
        <is>
          <t>gun</t>
        </is>
      </c>
      <c r="I4" s="16" t="inlineStr">
        <is>
          <t>point</t>
        </is>
      </c>
      <c r="J4" s="16" t="inlineStr">
        <is>
          <t>not_fleeing</t>
        </is>
      </c>
      <c r="K4" s="16" t="b">
        <v>0</v>
      </c>
      <c r="L4" s="16" t="b">
        <v>1</v>
      </c>
      <c r="M4" s="16" t="b">
        <v>1</v>
      </c>
      <c r="N4" s="16" t="inlineStr">
        <is>
          <t>Albuquerque Police Department</t>
        </is>
      </c>
      <c r="O4" s="16" t="n">
        <v>35.0726273</v>
      </c>
      <c r="P4" s="16" t="n">
        <v>-106.6431762</v>
      </c>
    </row>
    <row r="5">
      <c r="A5" s="16" t="n">
        <v>997</v>
      </c>
      <c r="B5" s="16" t="inlineStr">
        <is>
          <t>2015-11-11</t>
        </is>
      </c>
      <c r="C5" s="16" t="n">
        <v>2015</v>
      </c>
      <c r="D5" s="16" t="inlineStr">
        <is>
          <t>Joseph Jaramillo</t>
        </is>
      </c>
      <c r="E5" s="16" t="n">
        <v>31</v>
      </c>
      <c r="F5" s="16" t="inlineStr">
        <is>
          <t>male</t>
        </is>
      </c>
      <c r="G5" s="16" t="inlineStr">
        <is>
          <t>Hispanic</t>
        </is>
      </c>
      <c r="H5" s="16" t="inlineStr">
        <is>
          <t>missing</t>
        </is>
      </c>
      <c r="I5" s="16" t="inlineStr">
        <is>
          <t>threat</t>
        </is>
      </c>
      <c r="J5" s="16" t="inlineStr">
        <is>
          <t>car</t>
        </is>
      </c>
      <c r="K5" s="16" t="b">
        <v>0</v>
      </c>
      <c r="L5" s="16" t="b">
        <v>0</v>
      </c>
      <c r="M5" s="16" t="b">
        <v>0</v>
      </c>
      <c r="N5" s="16" t="inlineStr">
        <is>
          <t>Bernalillo County Sheriff's Department</t>
        </is>
      </c>
      <c r="O5" s="16" t="n">
        <v>35.0618824</v>
      </c>
      <c r="P5" s="16" t="n">
        <v>-106.6832523</v>
      </c>
    </row>
    <row r="6">
      <c r="A6" s="16" t="n">
        <v>1117</v>
      </c>
      <c r="B6" s="16" t="inlineStr">
        <is>
          <t>2015-12-22</t>
        </is>
      </c>
      <c r="C6" s="16" t="n">
        <v>2015</v>
      </c>
      <c r="D6" s="16" t="inlineStr">
        <is>
          <t>Jose Rodriguez</t>
        </is>
      </c>
      <c r="E6" s="16" t="n">
        <v>19</v>
      </c>
      <c r="F6" s="16" t="inlineStr">
        <is>
          <t>male</t>
        </is>
      </c>
      <c r="G6" s="16" t="inlineStr">
        <is>
          <t>Hispanic</t>
        </is>
      </c>
      <c r="H6" s="16" t="inlineStr">
        <is>
          <t>gun</t>
        </is>
      </c>
      <c r="I6" s="16" t="inlineStr">
        <is>
          <t>undetermined</t>
        </is>
      </c>
      <c r="J6" s="16" t="inlineStr">
        <is>
          <t>foot</t>
        </is>
      </c>
      <c r="K6" s="16" t="b">
        <v>0</v>
      </c>
      <c r="L6" s="16" t="b">
        <v>1</v>
      </c>
      <c r="M6" s="16" t="b">
        <v>1</v>
      </c>
      <c r="N6" s="16" t="inlineStr">
        <is>
          <t>Albuquerque Police Department</t>
        </is>
      </c>
      <c r="O6" s="16" t="n">
        <v>35.0756535</v>
      </c>
      <c r="P6" s="16" t="n">
        <v>-106.5658348</v>
      </c>
    </row>
    <row r="7">
      <c r="A7" s="16" t="n">
        <v>1232</v>
      </c>
      <c r="B7" s="16" t="inlineStr">
        <is>
          <t>2016-02-01</t>
        </is>
      </c>
      <c r="C7" s="16" t="n">
        <v>2016</v>
      </c>
      <c r="D7" s="16" t="inlineStr">
        <is>
          <t>Edgar Rene Alvarado</t>
        </is>
      </c>
      <c r="E7" s="16" t="n">
        <v>21</v>
      </c>
      <c r="F7" s="16" t="inlineStr">
        <is>
          <t>male</t>
        </is>
      </c>
      <c r="G7" s="16" t="inlineStr">
        <is>
          <t>Hispanic</t>
        </is>
      </c>
      <c r="H7" s="16" t="inlineStr">
        <is>
          <t>gun</t>
        </is>
      </c>
      <c r="I7" s="16" t="inlineStr">
        <is>
          <t>shoot</t>
        </is>
      </c>
      <c r="J7" s="16" t="inlineStr">
        <is>
          <t>car</t>
        </is>
      </c>
      <c r="K7" s="16" t="b">
        <v>1</v>
      </c>
      <c r="L7" s="16" t="b">
        <v>1</v>
      </c>
      <c r="M7" s="16" t="b">
        <v>1</v>
      </c>
      <c r="N7" s="16" t="inlineStr">
        <is>
          <t>Albuquerque Police Department; Bernalillo County Sheriff's Department</t>
        </is>
      </c>
      <c r="O7" s="16" t="n">
        <v>35.0937578</v>
      </c>
      <c r="P7" s="16" t="n">
        <v>-106.5834068</v>
      </c>
    </row>
    <row r="8">
      <c r="A8" s="16" t="n">
        <v>1294</v>
      </c>
      <c r="B8" s="16" t="inlineStr">
        <is>
          <t>2016-02-20</t>
        </is>
      </c>
      <c r="C8" s="16" t="n">
        <v>2016</v>
      </c>
      <c r="D8" s="16" t="inlineStr">
        <is>
          <t>Edgar Camacho-Alvarado</t>
        </is>
      </c>
      <c r="E8" s="16" t="n">
        <v>23</v>
      </c>
      <c r="F8" s="16" t="inlineStr">
        <is>
          <t>male</t>
        </is>
      </c>
      <c r="G8" s="16" t="inlineStr">
        <is>
          <t>Hispanic</t>
        </is>
      </c>
      <c r="H8" s="16" t="inlineStr">
        <is>
          <t>gun</t>
        </is>
      </c>
      <c r="I8" s="16" t="inlineStr">
        <is>
          <t>point</t>
        </is>
      </c>
      <c r="J8" s="16" t="inlineStr">
        <is>
          <t>foot</t>
        </is>
      </c>
      <c r="K8" s="16" t="b">
        <v>0</v>
      </c>
      <c r="L8" s="16" t="b">
        <v>0</v>
      </c>
      <c r="M8" s="16" t="b">
        <v>0</v>
      </c>
      <c r="N8" s="16" t="inlineStr">
        <is>
          <t>U.S. Marshals Service</t>
        </is>
      </c>
      <c r="O8" s="16" t="n">
        <v>35.079544</v>
      </c>
      <c r="P8" s="16" t="n">
        <v>-106.719762</v>
      </c>
    </row>
    <row r="9">
      <c r="A9" s="16" t="n">
        <v>1492</v>
      </c>
      <c r="B9" s="16" t="inlineStr">
        <is>
          <t>2016-04-26</t>
        </is>
      </c>
      <c r="C9" s="16" t="n">
        <v>2016</v>
      </c>
      <c r="D9" s="16" t="inlineStr">
        <is>
          <t>Jacquelyn Burke</t>
        </is>
      </c>
      <c r="E9" s="16" t="n">
        <v>24</v>
      </c>
      <c r="F9" s="16" t="inlineStr">
        <is>
          <t>female</t>
        </is>
      </c>
      <c r="G9" s="16" t="inlineStr">
        <is>
          <t>White</t>
        </is>
      </c>
      <c r="H9" s="16" t="inlineStr">
        <is>
          <t>gun</t>
        </is>
      </c>
      <c r="I9" s="16" t="inlineStr">
        <is>
          <t>point</t>
        </is>
      </c>
      <c r="J9" s="16" t="inlineStr">
        <is>
          <t>car</t>
        </is>
      </c>
      <c r="K9" s="16" t="b">
        <v>1</v>
      </c>
      <c r="L9" s="16" t="b">
        <v>0</v>
      </c>
      <c r="M9" s="16" t="b">
        <v>0</v>
      </c>
      <c r="N9" s="16" t="inlineStr">
        <is>
          <t>Bernalillo County Sheriff's Department</t>
        </is>
      </c>
      <c r="O9" s="16" t="n">
        <v>35.1456334</v>
      </c>
      <c r="P9" s="16" t="n">
        <v>-106.5267234</v>
      </c>
    </row>
    <row r="10">
      <c r="A10" s="16" t="n">
        <v>1567</v>
      </c>
      <c r="B10" s="16" t="inlineStr">
        <is>
          <t>2016-05-24</t>
        </is>
      </c>
      <c r="C10" s="16" t="n">
        <v>2016</v>
      </c>
      <c r="D10" s="16" t="inlineStr">
        <is>
          <t>Mario Montoya</t>
        </is>
      </c>
      <c r="E10" s="16" t="n">
        <v>31</v>
      </c>
      <c r="F10" s="16" t="inlineStr">
        <is>
          <t>male</t>
        </is>
      </c>
      <c r="G10" s="16" t="inlineStr">
        <is>
          <t>Hispanic</t>
        </is>
      </c>
      <c r="H10" s="16" t="inlineStr">
        <is>
          <t>gun</t>
        </is>
      </c>
      <c r="I10" s="16" t="inlineStr">
        <is>
          <t>shoot</t>
        </is>
      </c>
      <c r="J10" s="16" t="inlineStr">
        <is>
          <t>not_fleeing</t>
        </is>
      </c>
      <c r="K10" s="16" t="b">
        <v>0</v>
      </c>
      <c r="L10" s="16" t="b">
        <v>0</v>
      </c>
      <c r="M10" s="16" t="b">
        <v>1</v>
      </c>
      <c r="N10" s="16" t="inlineStr">
        <is>
          <t>Albuquerque Police Department; U.S. Marshals Service</t>
        </is>
      </c>
      <c r="O10" s="16" t="n">
        <v>35.0694603</v>
      </c>
      <c r="P10" s="16" t="n">
        <v>-106.5096836</v>
      </c>
    </row>
    <row r="11">
      <c r="A11" s="16" t="n">
        <v>1582</v>
      </c>
      <c r="B11" s="16" t="inlineStr">
        <is>
          <t>2016-05-28</t>
        </is>
      </c>
      <c r="C11" s="16" t="n">
        <v>2016</v>
      </c>
      <c r="D11" s="16" t="inlineStr">
        <is>
          <t>Dennis Humphrey</t>
        </is>
      </c>
      <c r="E11" s="16" t="n">
        <v>58</v>
      </c>
      <c r="F11" s="16" t="inlineStr">
        <is>
          <t>male</t>
        </is>
      </c>
      <c r="G11" s="16" t="inlineStr">
        <is>
          <t>White</t>
        </is>
      </c>
      <c r="H11" s="16" t="inlineStr">
        <is>
          <t>gun</t>
        </is>
      </c>
      <c r="I11" s="16" t="inlineStr">
        <is>
          <t>point</t>
        </is>
      </c>
      <c r="J11" s="16" t="inlineStr">
        <is>
          <t>not_fleeing</t>
        </is>
      </c>
      <c r="K11" s="16" t="b">
        <v>0</v>
      </c>
      <c r="L11" s="16" t="b">
        <v>1</v>
      </c>
      <c r="M11" s="16" t="b">
        <v>1</v>
      </c>
      <c r="N11" s="16" t="inlineStr">
        <is>
          <t>Albuquerque Police Department</t>
        </is>
      </c>
      <c r="O11" s="16" t="n">
        <v>35.128322</v>
      </c>
      <c r="P11" s="16" t="n">
        <v>-106.601025</v>
      </c>
    </row>
    <row r="12">
      <c r="A12" s="16" t="n">
        <v>1837</v>
      </c>
      <c r="B12" s="16" t="inlineStr">
        <is>
          <t>2016-06-16</t>
        </is>
      </c>
      <c r="C12" s="16" t="n">
        <v>2016</v>
      </c>
      <c r="D12" s="16" t="inlineStr">
        <is>
          <t>Ronald Delfino</t>
        </is>
      </c>
      <c r="E12" s="16" t="n">
        <v>21</v>
      </c>
      <c r="F12" s="16" t="inlineStr">
        <is>
          <t>male</t>
        </is>
      </c>
      <c r="G12" s="16" t="inlineStr">
        <is>
          <t>Hispanic</t>
        </is>
      </c>
      <c r="H12" s="16" t="inlineStr">
        <is>
          <t>gun</t>
        </is>
      </c>
      <c r="I12" s="16" t="inlineStr">
        <is>
          <t>shoot</t>
        </is>
      </c>
      <c r="J12" s="16" t="inlineStr">
        <is>
          <t>car</t>
        </is>
      </c>
      <c r="K12" s="16" t="b">
        <v>0</v>
      </c>
      <c r="L12" s="16" t="b">
        <v>0</v>
      </c>
      <c r="M12" s="16" t="b">
        <v>1</v>
      </c>
      <c r="N12" s="16" t="inlineStr">
        <is>
          <t>Albuquerque Police Department</t>
        </is>
      </c>
      <c r="O12" s="16" t="str"/>
      <c r="P12" s="16" t="str"/>
    </row>
    <row r="13">
      <c r="A13" s="16" t="n">
        <v>2203</v>
      </c>
      <c r="B13" s="16" t="inlineStr">
        <is>
          <t>2017-01-07</t>
        </is>
      </c>
      <c r="C13" s="16" t="n">
        <v>2017</v>
      </c>
      <c r="D13" s="16" t="inlineStr">
        <is>
          <t>Gilbert Zambronio-Lovato</t>
        </is>
      </c>
      <c r="E13" s="16" t="n">
        <v>38</v>
      </c>
      <c r="F13" s="16" t="inlineStr">
        <is>
          <t>male</t>
        </is>
      </c>
      <c r="G13" s="16" t="inlineStr">
        <is>
          <t>Hispanic</t>
        </is>
      </c>
      <c r="H13" s="16" t="inlineStr">
        <is>
          <t>replica</t>
        </is>
      </c>
      <c r="I13" s="16" t="inlineStr">
        <is>
          <t>threat</t>
        </is>
      </c>
      <c r="J13" s="16" t="inlineStr">
        <is>
          <t>not_fleeing</t>
        </is>
      </c>
      <c r="K13" s="16" t="b">
        <v>0</v>
      </c>
      <c r="L13" s="16" t="b">
        <v>0</v>
      </c>
      <c r="M13" s="16" t="b">
        <v>1</v>
      </c>
      <c r="N13" s="16" t="inlineStr">
        <is>
          <t>Albuquerque Police Department</t>
        </is>
      </c>
      <c r="O13" s="16" t="n">
        <v>35.1236886</v>
      </c>
      <c r="P13" s="16" t="n">
        <v>-106.6040344</v>
      </c>
    </row>
    <row r="14">
      <c r="A14" s="16" t="n">
        <v>2737</v>
      </c>
      <c r="B14" s="16" t="inlineStr">
        <is>
          <t>2017-07-04</t>
        </is>
      </c>
      <c r="C14" s="16" t="n">
        <v>2017</v>
      </c>
      <c r="D14" s="16" t="inlineStr">
        <is>
          <t>Miguel Gonzales</t>
        </is>
      </c>
      <c r="E14" s="16" t="n">
        <v>28</v>
      </c>
      <c r="F14" s="16" t="inlineStr">
        <is>
          <t>male</t>
        </is>
      </c>
      <c r="G14" s="16" t="inlineStr">
        <is>
          <t>Hispanic</t>
        </is>
      </c>
      <c r="H14" s="16" t="inlineStr">
        <is>
          <t>gun</t>
        </is>
      </c>
      <c r="I14" s="16" t="inlineStr">
        <is>
          <t>undetermined</t>
        </is>
      </c>
      <c r="J14" s="16" t="inlineStr">
        <is>
          <t>other</t>
        </is>
      </c>
      <c r="K14" s="16" t="b">
        <v>0</v>
      </c>
      <c r="L14" s="16" t="b">
        <v>0</v>
      </c>
      <c r="M14" s="16" t="b">
        <v>0</v>
      </c>
      <c r="N14" s="16" t="inlineStr">
        <is>
          <t>Bernalillo County Sheriff's Department</t>
        </is>
      </c>
      <c r="O14" s="16" t="n">
        <v>35.0525879</v>
      </c>
      <c r="P14" s="16" t="n">
        <v>-106.7219408</v>
      </c>
    </row>
    <row r="15">
      <c r="A15" s="16" t="n">
        <v>2813</v>
      </c>
      <c r="B15" s="16" t="inlineStr">
        <is>
          <t>2017-07-28</t>
        </is>
      </c>
      <c r="C15" s="16" t="n">
        <v>2017</v>
      </c>
      <c r="D15" s="16" t="inlineStr">
        <is>
          <t>Raymond Cruz</t>
        </is>
      </c>
      <c r="E15" s="16" t="n">
        <v>37</v>
      </c>
      <c r="F15" s="16" t="inlineStr">
        <is>
          <t>male</t>
        </is>
      </c>
      <c r="G15" s="16" t="inlineStr">
        <is>
          <t>Hispanic</t>
        </is>
      </c>
      <c r="H15" s="16" t="inlineStr">
        <is>
          <t>missing</t>
        </is>
      </c>
      <c r="I15" s="16" t="inlineStr">
        <is>
          <t>attack</t>
        </is>
      </c>
      <c r="J15" s="16" t="inlineStr">
        <is>
          <t>car</t>
        </is>
      </c>
      <c r="K15" s="16" t="b">
        <v>0</v>
      </c>
      <c r="L15" s="16" t="b">
        <v>0</v>
      </c>
      <c r="M15" s="16" t="b">
        <v>0</v>
      </c>
      <c r="N15" s="16" t="inlineStr">
        <is>
          <t>Bernalillo County Sheriff's Department</t>
        </is>
      </c>
      <c r="O15" s="16" t="n">
        <v>34.9917498</v>
      </c>
      <c r="P15" s="16" t="n">
        <v>-106.6649591</v>
      </c>
    </row>
    <row r="16">
      <c r="A16" s="16" t="n">
        <v>2823</v>
      </c>
      <c r="B16" s="16" t="inlineStr">
        <is>
          <t>2017-07-31</t>
        </is>
      </c>
      <c r="C16" s="16" t="n">
        <v>2017</v>
      </c>
      <c r="D16" s="16" t="inlineStr">
        <is>
          <t>Robert Savelli</t>
        </is>
      </c>
      <c r="E16" s="16" t="n">
        <v>43</v>
      </c>
      <c r="F16" s="16" t="inlineStr">
        <is>
          <t>male</t>
        </is>
      </c>
      <c r="G16" s="16" t="inlineStr">
        <is>
          <t>White</t>
        </is>
      </c>
      <c r="H16" s="16" t="inlineStr">
        <is>
          <t>gun</t>
        </is>
      </c>
      <c r="I16" s="16" t="inlineStr">
        <is>
          <t>point</t>
        </is>
      </c>
      <c r="J16" s="16" t="inlineStr">
        <is>
          <t>not_fleeing</t>
        </is>
      </c>
      <c r="K16" s="16" t="b">
        <v>0</v>
      </c>
      <c r="L16" s="16" t="b">
        <v>1</v>
      </c>
      <c r="M16" s="16" t="b">
        <v>1</v>
      </c>
      <c r="N16" s="16" t="inlineStr">
        <is>
          <t>Albuquerque Police Department</t>
        </is>
      </c>
      <c r="O16" s="16" t="n">
        <v>35.1092715</v>
      </c>
      <c r="P16" s="16" t="n">
        <v>-106.6146673</v>
      </c>
    </row>
    <row r="17">
      <c r="A17" s="16" t="n">
        <v>2890</v>
      </c>
      <c r="B17" s="16" t="inlineStr">
        <is>
          <t>2017-08-22</t>
        </is>
      </c>
      <c r="C17" s="16" t="n">
        <v>2017</v>
      </c>
      <c r="D17" s="16" t="inlineStr">
        <is>
          <t>Henry Rivera Jr.</t>
        </is>
      </c>
      <c r="E17" s="16" t="n">
        <v>71</v>
      </c>
      <c r="F17" s="16" t="inlineStr">
        <is>
          <t>male</t>
        </is>
      </c>
      <c r="G17" s="16" t="inlineStr">
        <is>
          <t>Hispanic</t>
        </is>
      </c>
      <c r="H17" s="16" t="inlineStr">
        <is>
          <t>missing</t>
        </is>
      </c>
      <c r="I17" s="16" t="inlineStr">
        <is>
          <t>attack</t>
        </is>
      </c>
      <c r="J17" s="16" t="inlineStr">
        <is>
          <t>car</t>
        </is>
      </c>
      <c r="K17" s="16" t="b">
        <v>0</v>
      </c>
      <c r="L17" s="16" t="b">
        <v>0</v>
      </c>
      <c r="M17" s="16" t="b">
        <v>0</v>
      </c>
      <c r="N17" s="16" t="inlineStr">
        <is>
          <t>Rio Rancho Police Department</t>
        </is>
      </c>
      <c r="O17" s="16" t="n">
        <v>35.2033113</v>
      </c>
      <c r="P17" s="16" t="n">
        <v>-106.7033371</v>
      </c>
    </row>
    <row r="18">
      <c r="A18" s="16" t="n">
        <v>3133</v>
      </c>
      <c r="B18" s="16" t="inlineStr">
        <is>
          <t>2017-11-10</t>
        </is>
      </c>
      <c r="C18" s="16" t="n">
        <v>2017</v>
      </c>
      <c r="D18" s="16" t="inlineStr">
        <is>
          <t>Matthew Joseph Scudero</t>
        </is>
      </c>
      <c r="E18" s="16" t="n">
        <v>50</v>
      </c>
      <c r="F18" s="16" t="inlineStr">
        <is>
          <t>male</t>
        </is>
      </c>
      <c r="G18" s="16" t="inlineStr">
        <is>
          <t>White</t>
        </is>
      </c>
      <c r="H18" s="16" t="inlineStr">
        <is>
          <t>gun</t>
        </is>
      </c>
      <c r="I18" s="16" t="inlineStr">
        <is>
          <t>shoot</t>
        </is>
      </c>
      <c r="J18" s="16" t="inlineStr">
        <is>
          <t>not_fleeing</t>
        </is>
      </c>
      <c r="K18" s="16" t="b">
        <v>0</v>
      </c>
      <c r="L18" s="16" t="b">
        <v>0</v>
      </c>
      <c r="M18" s="16" t="b">
        <v>0</v>
      </c>
      <c r="N18" s="16" t="inlineStr">
        <is>
          <t>Bernalillo County Sheriff's Department</t>
        </is>
      </c>
      <c r="O18" s="16" t="n">
        <v>35.1986218</v>
      </c>
      <c r="P18" s="16" t="n">
        <v>-106.610671</v>
      </c>
    </row>
    <row r="19">
      <c r="A19" s="16" t="n">
        <v>3145</v>
      </c>
      <c r="B19" s="16" t="inlineStr">
        <is>
          <t>2017-11-17</t>
        </is>
      </c>
      <c r="C19" s="16" t="n">
        <v>2017</v>
      </c>
      <c r="D19" s="16" t="inlineStr">
        <is>
          <t>Martin Jim</t>
        </is>
      </c>
      <c r="E19" s="16" t="n">
        <v>25</v>
      </c>
      <c r="F19" s="16" t="inlineStr">
        <is>
          <t>male</t>
        </is>
      </c>
      <c r="G19" s="16" t="inlineStr">
        <is>
          <t>White</t>
        </is>
      </c>
      <c r="H19" s="16" t="inlineStr">
        <is>
          <t>unarmed</t>
        </is>
      </c>
      <c r="I19" s="16" t="inlineStr">
        <is>
          <t>accident</t>
        </is>
      </c>
      <c r="J19" s="16" t="inlineStr">
        <is>
          <t>car</t>
        </is>
      </c>
      <c r="K19" s="16" t="b">
        <v>0</v>
      </c>
      <c r="L19" s="16" t="b">
        <v>0</v>
      </c>
      <c r="M19" s="16" t="b">
        <v>0</v>
      </c>
      <c r="N19" s="16" t="inlineStr">
        <is>
          <t>Bernalillo County Sheriff's Department</t>
        </is>
      </c>
      <c r="O19" s="16" t="n">
        <v>35.0973532</v>
      </c>
      <c r="P19" s="16" t="n">
        <v>-106.7084002</v>
      </c>
    </row>
    <row r="20">
      <c r="A20" s="16" t="n">
        <v>3146</v>
      </c>
      <c r="B20" s="16" t="inlineStr">
        <is>
          <t>2017-11-17</t>
        </is>
      </c>
      <c r="C20" s="16" t="n">
        <v>2017</v>
      </c>
      <c r="D20" s="16" t="inlineStr">
        <is>
          <t>Isaac Padilla</t>
        </is>
      </c>
      <c r="E20" s="16" t="n">
        <v>23</v>
      </c>
      <c r="F20" s="16" t="inlineStr">
        <is>
          <t>male</t>
        </is>
      </c>
      <c r="G20" s="16" t="inlineStr">
        <is>
          <t>Hispanic</t>
        </is>
      </c>
      <c r="H20" s="16" t="inlineStr">
        <is>
          <t>unarmed</t>
        </is>
      </c>
      <c r="I20" s="16" t="inlineStr">
        <is>
          <t>flee</t>
        </is>
      </c>
      <c r="J20" s="16" t="inlineStr">
        <is>
          <t>car</t>
        </is>
      </c>
      <c r="K20" s="16" t="b">
        <v>0</v>
      </c>
      <c r="L20" s="16" t="b">
        <v>0</v>
      </c>
      <c r="M20" s="16" t="b">
        <v>0</v>
      </c>
      <c r="N20" s="16" t="inlineStr">
        <is>
          <t>Bernalillo County Sheriff's Department</t>
        </is>
      </c>
      <c r="O20" s="16" t="n">
        <v>35.0973532</v>
      </c>
      <c r="P20" s="16" t="n">
        <v>-106.7084002</v>
      </c>
    </row>
    <row r="21">
      <c r="A21" s="16" t="n">
        <v>3268</v>
      </c>
      <c r="B21" s="16" t="inlineStr">
        <is>
          <t>2018-01-06</t>
        </is>
      </c>
      <c r="C21" s="16" t="n">
        <v>2018</v>
      </c>
      <c r="D21" s="16" t="inlineStr">
        <is>
          <t>Daniel Saavedra-Arreola</t>
        </is>
      </c>
      <c r="E21" s="16" t="n">
        <v>24</v>
      </c>
      <c r="F21" s="16" t="inlineStr">
        <is>
          <t>male</t>
        </is>
      </c>
      <c r="G21" s="16" t="inlineStr">
        <is>
          <t>Hispanic</t>
        </is>
      </c>
      <c r="H21" s="16" t="inlineStr">
        <is>
          <t>knife;blunt_object</t>
        </is>
      </c>
      <c r="I21" s="16" t="inlineStr">
        <is>
          <t>threat</t>
        </is>
      </c>
      <c r="J21" s="16" t="inlineStr">
        <is>
          <t>not_fleeing</t>
        </is>
      </c>
      <c r="K21" s="16" t="b">
        <v>0</v>
      </c>
      <c r="L21" s="16" t="b">
        <v>0</v>
      </c>
      <c r="M21" s="16" t="b">
        <v>1</v>
      </c>
      <c r="N21" s="16" t="inlineStr">
        <is>
          <t>Albuquerque Police Department</t>
        </is>
      </c>
      <c r="O21" s="16" t="n">
        <v>35.0780365</v>
      </c>
      <c r="P21" s="16" t="n">
        <v>-106.5453162</v>
      </c>
    </row>
    <row r="22">
      <c r="A22" s="16" t="n">
        <v>3754</v>
      </c>
      <c r="B22" s="16" t="inlineStr">
        <is>
          <t>2018-06-07</t>
        </is>
      </c>
      <c r="C22" s="16" t="n">
        <v>2018</v>
      </c>
      <c r="D22" s="16" t="inlineStr">
        <is>
          <t>Wes Allen</t>
        </is>
      </c>
      <c r="E22" s="16" t="n">
        <v>33</v>
      </c>
      <c r="F22" s="16" t="inlineStr">
        <is>
          <t>male</t>
        </is>
      </c>
      <c r="G22" s="16" t="inlineStr">
        <is>
          <t>White</t>
        </is>
      </c>
      <c r="H22" s="16" t="inlineStr">
        <is>
          <t>gun</t>
        </is>
      </c>
      <c r="I22" s="16" t="inlineStr">
        <is>
          <t>shoot</t>
        </is>
      </c>
      <c r="J22" s="16" t="inlineStr">
        <is>
          <t>car</t>
        </is>
      </c>
      <c r="K22" s="16" t="b">
        <v>0</v>
      </c>
      <c r="L22" s="16" t="b">
        <v>0</v>
      </c>
      <c r="M22" s="16" t="b">
        <v>0</v>
      </c>
      <c r="N22" s="16" t="inlineStr">
        <is>
          <t>U.S. Marshals Service</t>
        </is>
      </c>
      <c r="O22" s="16" t="n">
        <v>35.069122</v>
      </c>
      <c r="P22" s="16" t="n">
        <v>-106.638414</v>
      </c>
    </row>
    <row r="23">
      <c r="A23" s="16" t="n">
        <v>3783</v>
      </c>
      <c r="B23" s="16" t="inlineStr">
        <is>
          <t>2018-06-16</t>
        </is>
      </c>
      <c r="C23" s="16" t="n">
        <v>2018</v>
      </c>
      <c r="D23" s="16" t="inlineStr">
        <is>
          <t>Richard Rivera</t>
        </is>
      </c>
      <c r="E23" s="16" t="n">
        <v>47</v>
      </c>
      <c r="F23" s="16" t="inlineStr">
        <is>
          <t>male</t>
        </is>
      </c>
      <c r="G23" s="16" t="inlineStr">
        <is>
          <t>Hispanic</t>
        </is>
      </c>
      <c r="H23" s="16" t="inlineStr">
        <is>
          <t>unarmed</t>
        </is>
      </c>
      <c r="I23" s="16" t="inlineStr">
        <is>
          <t>missing</t>
        </is>
      </c>
      <c r="J23" s="16" t="inlineStr">
        <is>
          <t>car</t>
        </is>
      </c>
      <c r="K23" s="16" t="b">
        <v>0</v>
      </c>
      <c r="L23" s="16" t="b">
        <v>0</v>
      </c>
      <c r="M23" s="16" t="b">
        <v>1</v>
      </c>
      <c r="N23" s="16" t="inlineStr">
        <is>
          <t>Albuquerque Police Department</t>
        </is>
      </c>
      <c r="O23" s="16" t="n">
        <v>35.0750602</v>
      </c>
      <c r="P23" s="16" t="n">
        <v>-106.6220968</v>
      </c>
    </row>
    <row r="24">
      <c r="A24" s="16" t="n">
        <v>3941</v>
      </c>
      <c r="B24" s="16" t="inlineStr">
        <is>
          <t>2018-07-15</t>
        </is>
      </c>
      <c r="C24" s="16" t="n">
        <v>2018</v>
      </c>
      <c r="D24" s="16" t="inlineStr">
        <is>
          <t>Jonathan Molina</t>
        </is>
      </c>
      <c r="E24" s="16" t="n">
        <v>23</v>
      </c>
      <c r="F24" s="16" t="inlineStr">
        <is>
          <t>male</t>
        </is>
      </c>
      <c r="G24" s="16" t="inlineStr">
        <is>
          <t>Hispanic</t>
        </is>
      </c>
      <c r="H24" s="16" t="inlineStr">
        <is>
          <t>gun</t>
        </is>
      </c>
      <c r="I24" s="16" t="inlineStr">
        <is>
          <t>attack</t>
        </is>
      </c>
      <c r="J24" s="16" t="inlineStr">
        <is>
          <t>not_fleeing</t>
        </is>
      </c>
      <c r="K24" s="16" t="b">
        <v>0</v>
      </c>
      <c r="L24" s="16" t="b">
        <v>0</v>
      </c>
      <c r="M24" s="16" t="b">
        <v>0</v>
      </c>
      <c r="N24" s="16" t="inlineStr">
        <is>
          <t>New Mexico State Police</t>
        </is>
      </c>
      <c r="O24" s="16" t="n">
        <v>35.0697377</v>
      </c>
      <c r="P24" s="16" t="n">
        <v>-106.6392485</v>
      </c>
    </row>
    <row r="25">
      <c r="A25" s="16" t="n">
        <v>3866</v>
      </c>
      <c r="B25" s="16" t="inlineStr">
        <is>
          <t>2018-07-18</t>
        </is>
      </c>
      <c r="C25" s="16" t="n">
        <v>2018</v>
      </c>
      <c r="D25" s="16" t="inlineStr">
        <is>
          <t>Arthur Lujan</t>
        </is>
      </c>
      <c r="E25" s="16" t="n">
        <v>30</v>
      </c>
      <c r="F25" s="16" t="inlineStr">
        <is>
          <t>male</t>
        </is>
      </c>
      <c r="G25" s="16" t="inlineStr">
        <is>
          <t>Hispanic</t>
        </is>
      </c>
      <c r="H25" s="16" t="inlineStr">
        <is>
          <t>gun</t>
        </is>
      </c>
      <c r="I25" s="16" t="inlineStr">
        <is>
          <t>shoot</t>
        </is>
      </c>
      <c r="J25" s="16" t="inlineStr">
        <is>
          <t>not_fleeing</t>
        </is>
      </c>
      <c r="K25" s="16" t="b">
        <v>0</v>
      </c>
      <c r="L25" s="16" t="b">
        <v>0</v>
      </c>
      <c r="M25" s="16" t="b">
        <v>1</v>
      </c>
      <c r="N25" s="16" t="inlineStr">
        <is>
          <t>Albuquerque Police Department; New Mexico State Police</t>
        </is>
      </c>
      <c r="O25" s="16" t="n">
        <v>35.13053</v>
      </c>
      <c r="P25" s="16" t="n">
        <v>-106.7160321</v>
      </c>
    </row>
    <row r="26">
      <c r="A26" s="16" t="n">
        <v>4154</v>
      </c>
      <c r="B26" s="16" t="inlineStr">
        <is>
          <t>2018-11-04</t>
        </is>
      </c>
      <c r="C26" s="16" t="n">
        <v>2018</v>
      </c>
      <c r="D26" s="16" t="inlineStr">
        <is>
          <t>Anthony David Chavez</t>
        </is>
      </c>
      <c r="E26" s="16" t="n">
        <v>18</v>
      </c>
      <c r="F26" s="16" t="inlineStr">
        <is>
          <t>male</t>
        </is>
      </c>
      <c r="G26" s="16" t="inlineStr">
        <is>
          <t>Hispanic</t>
        </is>
      </c>
      <c r="H26" s="16" t="inlineStr">
        <is>
          <t>gun</t>
        </is>
      </c>
      <c r="I26" s="16" t="inlineStr">
        <is>
          <t>threat</t>
        </is>
      </c>
      <c r="J26" s="16" t="inlineStr">
        <is>
          <t>not_fleeing</t>
        </is>
      </c>
      <c r="K26" s="16" t="b">
        <v>0</v>
      </c>
      <c r="L26" s="16" t="b">
        <v>0</v>
      </c>
      <c r="M26" s="16" t="b">
        <v>1</v>
      </c>
      <c r="N26" s="16" t="inlineStr">
        <is>
          <t>Albuquerque Police Department</t>
        </is>
      </c>
      <c r="O26" s="16" t="n">
        <v>35.0582642</v>
      </c>
      <c r="P26" s="16" t="n">
        <v>-106.5687495</v>
      </c>
    </row>
    <row r="27">
      <c r="A27" s="16" t="n">
        <v>4300</v>
      </c>
      <c r="B27" s="16" t="inlineStr">
        <is>
          <t>2018-12-12</t>
        </is>
      </c>
      <c r="C27" s="16" t="n">
        <v>2018</v>
      </c>
      <c r="D27" s="16" t="inlineStr">
        <is>
          <t>Gabriel Romero</t>
        </is>
      </c>
      <c r="E27" s="16" t="n">
        <v>19</v>
      </c>
      <c r="F27" s="16" t="inlineStr">
        <is>
          <t>male</t>
        </is>
      </c>
      <c r="G27" s="16" t="inlineStr">
        <is>
          <t>Hispanic</t>
        </is>
      </c>
      <c r="H27" s="16" t="inlineStr">
        <is>
          <t>gun</t>
        </is>
      </c>
      <c r="I27" s="16" t="inlineStr">
        <is>
          <t>shoot</t>
        </is>
      </c>
      <c r="J27" s="16" t="inlineStr">
        <is>
          <t>foot</t>
        </is>
      </c>
      <c r="K27" s="16" t="b">
        <v>1</v>
      </c>
      <c r="L27" s="16" t="b">
        <v>0</v>
      </c>
      <c r="M27" s="16" t="b">
        <v>1</v>
      </c>
      <c r="N27" s="16" t="inlineStr">
        <is>
          <t>Albuquerque Police Department</t>
        </is>
      </c>
      <c r="O27" s="16" t="n">
        <v>35.1232742</v>
      </c>
      <c r="P27" s="16" t="n">
        <v>-106.5865515</v>
      </c>
    </row>
    <row r="28">
      <c r="A28" s="16" t="n">
        <v>4326</v>
      </c>
      <c r="B28" s="16" t="inlineStr">
        <is>
          <t>2018-12-23</t>
        </is>
      </c>
      <c r="C28" s="16" t="n">
        <v>2018</v>
      </c>
      <c r="D28" s="16" t="inlineStr">
        <is>
          <t>Jason Delgado Perez</t>
        </is>
      </c>
      <c r="E28" s="16" t="n">
        <v>36</v>
      </c>
      <c r="F28" s="16" t="inlineStr">
        <is>
          <t>male</t>
        </is>
      </c>
      <c r="G28" s="16" t="inlineStr">
        <is>
          <t>Hispanic</t>
        </is>
      </c>
      <c r="H28" s="16" t="inlineStr">
        <is>
          <t>gun</t>
        </is>
      </c>
      <c r="I28" s="16" t="inlineStr">
        <is>
          <t>shoot</t>
        </is>
      </c>
      <c r="J28" s="16" t="inlineStr">
        <is>
          <t>not_fleeing</t>
        </is>
      </c>
      <c r="K28" s="16" t="b">
        <v>1</v>
      </c>
      <c r="L28" s="16" t="b">
        <v>0</v>
      </c>
      <c r="M28" s="16" t="b">
        <v>1</v>
      </c>
      <c r="N28" s="16" t="inlineStr">
        <is>
          <t>Albuquerque Police Department</t>
        </is>
      </c>
      <c r="O28" s="16" t="n">
        <v>35.0800687</v>
      </c>
      <c r="P28" s="16" t="n">
        <v>-106.5591354</v>
      </c>
    </row>
    <row r="29">
      <c r="A29" s="16" t="n">
        <v>4327</v>
      </c>
      <c r="B29" s="16" t="inlineStr">
        <is>
          <t>2018-12-24</t>
        </is>
      </c>
      <c r="C29" s="16" t="n">
        <v>2018</v>
      </c>
      <c r="D29" s="16" t="inlineStr">
        <is>
          <t>Abdias Flores</t>
        </is>
      </c>
      <c r="E29" s="16" t="n">
        <v>35</v>
      </c>
      <c r="F29" s="16" t="inlineStr">
        <is>
          <t>male</t>
        </is>
      </c>
      <c r="G29" s="16" t="inlineStr">
        <is>
          <t>Hispanic</t>
        </is>
      </c>
      <c r="H29" s="16" t="inlineStr">
        <is>
          <t>gun</t>
        </is>
      </c>
      <c r="I29" s="16" t="inlineStr">
        <is>
          <t>shoot</t>
        </is>
      </c>
      <c r="J29" s="16" t="inlineStr">
        <is>
          <t>not_fleeing</t>
        </is>
      </c>
      <c r="K29" s="16" t="b">
        <v>0</v>
      </c>
      <c r="L29" s="16" t="b">
        <v>0</v>
      </c>
      <c r="M29" s="16" t="b">
        <v>1</v>
      </c>
      <c r="N29" s="16" t="inlineStr">
        <is>
          <t>Albuquerque Police Department</t>
        </is>
      </c>
      <c r="O29" s="16" t="n">
        <v>35.106927</v>
      </c>
      <c r="P29" s="16" t="n">
        <v>-106.606178</v>
      </c>
    </row>
    <row r="30">
      <c r="A30" s="16" t="n">
        <v>4839</v>
      </c>
      <c r="B30" s="16" t="inlineStr">
        <is>
          <t>2019-07-02</t>
        </is>
      </c>
      <c r="C30" s="16" t="n">
        <v>2019</v>
      </c>
      <c r="D30" s="16" t="inlineStr">
        <is>
          <t>Casiano Coronel</t>
        </is>
      </c>
      <c r="E30" s="16" t="n">
        <v>21</v>
      </c>
      <c r="F30" s="16" t="inlineStr">
        <is>
          <t>male</t>
        </is>
      </c>
      <c r="G30" s="16" t="inlineStr">
        <is>
          <t>Unknown</t>
        </is>
      </c>
      <c r="H30" s="16" t="inlineStr">
        <is>
          <t>gun</t>
        </is>
      </c>
      <c r="I30" s="16" t="inlineStr">
        <is>
          <t>shoot</t>
        </is>
      </c>
      <c r="J30" s="16" t="inlineStr">
        <is>
          <t>not_fleeing</t>
        </is>
      </c>
      <c r="K30" s="16" t="b">
        <v>0</v>
      </c>
      <c r="L30" s="16" t="b">
        <v>0</v>
      </c>
      <c r="M30" s="16" t="b">
        <v>1</v>
      </c>
      <c r="N30" s="16" t="inlineStr">
        <is>
          <t>Albuquerque Police Department</t>
        </is>
      </c>
      <c r="O30" s="16" t="n">
        <v>35.0738245</v>
      </c>
      <c r="P30" s="16" t="n">
        <v>-106.5503127</v>
      </c>
    </row>
    <row r="31">
      <c r="A31" s="16" t="n">
        <v>4889</v>
      </c>
      <c r="B31" s="16" t="inlineStr">
        <is>
          <t>2019-07-21</t>
        </is>
      </c>
      <c r="C31" s="16" t="n">
        <v>2019</v>
      </c>
      <c r="D31" s="16" t="inlineStr">
        <is>
          <t>Elisha Lucero</t>
        </is>
      </c>
      <c r="E31" s="16" t="n">
        <v>28</v>
      </c>
      <c r="F31" s="16" t="inlineStr">
        <is>
          <t>female</t>
        </is>
      </c>
      <c r="G31" s="16" t="inlineStr">
        <is>
          <t>Hispanic</t>
        </is>
      </c>
      <c r="H31" s="16" t="inlineStr">
        <is>
          <t>knife</t>
        </is>
      </c>
      <c r="I31" s="16" t="inlineStr">
        <is>
          <t>move</t>
        </is>
      </c>
      <c r="J31" s="16" t="inlineStr">
        <is>
          <t>not_fleeing</t>
        </is>
      </c>
      <c r="K31" s="16" t="b">
        <v>1</v>
      </c>
      <c r="L31" s="16" t="b">
        <v>0</v>
      </c>
      <c r="M31" s="16" t="b">
        <v>0</v>
      </c>
      <c r="N31" s="16" t="inlineStr">
        <is>
          <t>Bernalillo County Sheriff's Department</t>
        </is>
      </c>
      <c r="O31" s="16" t="n">
        <v>35.0270934</v>
      </c>
      <c r="P31" s="16" t="n">
        <v>-106.6582166</v>
      </c>
    </row>
    <row r="32">
      <c r="A32" s="16" t="n">
        <v>4972</v>
      </c>
      <c r="B32" s="16" t="inlineStr">
        <is>
          <t>2019-08-22</t>
        </is>
      </c>
      <c r="C32" s="16" t="n">
        <v>2019</v>
      </c>
      <c r="D32" s="16" t="inlineStr">
        <is>
          <t>Roger Schafer</t>
        </is>
      </c>
      <c r="E32" s="16" t="n">
        <v>57</v>
      </c>
      <c r="F32" s="16" t="inlineStr">
        <is>
          <t>male</t>
        </is>
      </c>
      <c r="G32" s="16" t="inlineStr">
        <is>
          <t>White</t>
        </is>
      </c>
      <c r="H32" s="16" t="inlineStr">
        <is>
          <t>replica</t>
        </is>
      </c>
      <c r="I32" s="16" t="inlineStr">
        <is>
          <t>point</t>
        </is>
      </c>
      <c r="J32" s="16" t="inlineStr">
        <is>
          <t>not_fleeing</t>
        </is>
      </c>
      <c r="K32" s="16" t="b">
        <v>0</v>
      </c>
      <c r="L32" s="16" t="b">
        <v>0</v>
      </c>
      <c r="M32" s="16" t="b">
        <v>1</v>
      </c>
      <c r="N32" s="16" t="inlineStr">
        <is>
          <t>Albuquerque Police Department</t>
        </is>
      </c>
      <c r="O32" s="16" t="n">
        <v>35.0793991</v>
      </c>
      <c r="P32" s="16" t="n">
        <v>-106.5293862</v>
      </c>
    </row>
    <row r="33">
      <c r="A33" s="16" t="n">
        <v>5092</v>
      </c>
      <c r="B33" s="16" t="inlineStr">
        <is>
          <t>2019-10-14</t>
        </is>
      </c>
      <c r="C33" s="16" t="n">
        <v>2019</v>
      </c>
      <c r="D33" s="16" t="inlineStr">
        <is>
          <t>Daniel James Wood Jr.</t>
        </is>
      </c>
      <c r="E33" s="16" t="n">
        <v>29</v>
      </c>
      <c r="F33" s="16" t="inlineStr">
        <is>
          <t>male</t>
        </is>
      </c>
      <c r="G33" s="16" t="inlineStr">
        <is>
          <t>Unknown</t>
        </is>
      </c>
      <c r="H33" s="16" t="inlineStr">
        <is>
          <t>gun</t>
        </is>
      </c>
      <c r="I33" s="16" t="inlineStr">
        <is>
          <t>point</t>
        </is>
      </c>
      <c r="J33" s="16" t="inlineStr">
        <is>
          <t>not_fleeing</t>
        </is>
      </c>
      <c r="K33" s="16" t="b">
        <v>0</v>
      </c>
      <c r="L33" s="16" t="b">
        <v>0</v>
      </c>
      <c r="M33" s="16" t="b">
        <v>1</v>
      </c>
      <c r="N33" s="16" t="inlineStr">
        <is>
          <t>Albuquerque Police Department</t>
        </is>
      </c>
      <c r="O33" s="16" t="n">
        <v>35.0801986</v>
      </c>
      <c r="P33" s="16" t="n">
        <v>-106.5566807</v>
      </c>
    </row>
    <row r="34">
      <c r="A34" s="16" t="n">
        <v>5136</v>
      </c>
      <c r="B34" s="16" t="inlineStr">
        <is>
          <t>2019-10-25</t>
        </is>
      </c>
      <c r="C34" s="16" t="n">
        <v>2019</v>
      </c>
      <c r="D34" s="16" t="inlineStr">
        <is>
          <t>Raymond V. Tahod</t>
        </is>
      </c>
      <c r="E34" s="16" t="n">
        <v>27</v>
      </c>
      <c r="F34" s="16" t="inlineStr">
        <is>
          <t>male</t>
        </is>
      </c>
      <c r="G34" s="16" t="inlineStr">
        <is>
          <t>Unknown</t>
        </is>
      </c>
      <c r="H34" s="16" t="inlineStr">
        <is>
          <t>gun</t>
        </is>
      </c>
      <c r="I34" s="16" t="inlineStr">
        <is>
          <t>threat</t>
        </is>
      </c>
      <c r="J34" s="16" t="inlineStr">
        <is>
          <t>car</t>
        </is>
      </c>
      <c r="K34" s="16" t="b">
        <v>0</v>
      </c>
      <c r="L34" s="16" t="b">
        <v>0</v>
      </c>
      <c r="M34" s="16" t="b">
        <v>1</v>
      </c>
      <c r="N34" s="16" t="inlineStr">
        <is>
          <t>Albuquerque Police Department</t>
        </is>
      </c>
      <c r="O34" s="16" t="n">
        <v>35.1091797</v>
      </c>
      <c r="P34" s="16" t="n">
        <v>-106.604248</v>
      </c>
    </row>
    <row r="35">
      <c r="A35" s="16" t="n">
        <v>5354</v>
      </c>
      <c r="B35" s="16" t="inlineStr">
        <is>
          <t>2020-01-06</t>
        </is>
      </c>
      <c r="C35" s="16" t="n">
        <v>2020</v>
      </c>
      <c r="D35" s="16" t="inlineStr">
        <is>
          <t>Orlando Abeyta</t>
        </is>
      </c>
      <c r="E35" s="16" t="n">
        <v>28</v>
      </c>
      <c r="F35" s="16" t="inlineStr">
        <is>
          <t>male</t>
        </is>
      </c>
      <c r="G35" s="16" t="inlineStr">
        <is>
          <t>Hispanic</t>
        </is>
      </c>
      <c r="H35" s="16" t="inlineStr">
        <is>
          <t>gun</t>
        </is>
      </c>
      <c r="I35" s="16" t="inlineStr">
        <is>
          <t>move</t>
        </is>
      </c>
      <c r="J35" s="16" t="inlineStr">
        <is>
          <t>not_fleeing</t>
        </is>
      </c>
      <c r="K35" s="16" t="b">
        <v>0</v>
      </c>
      <c r="L35" s="16" t="b">
        <v>0</v>
      </c>
      <c r="M35" s="16" t="b">
        <v>1</v>
      </c>
      <c r="N35" s="16" t="inlineStr">
        <is>
          <t>Albuquerque Police Department</t>
        </is>
      </c>
      <c r="O35" s="16" t="n">
        <v>35.0754518</v>
      </c>
      <c r="P35" s="16" t="n">
        <v>-106.5652647</v>
      </c>
    </row>
    <row r="36">
      <c r="A36" s="16" t="n">
        <v>5701</v>
      </c>
      <c r="B36" s="16" t="inlineStr">
        <is>
          <t>2020-03-31</t>
        </is>
      </c>
      <c r="C36" s="16" t="n">
        <v>2020</v>
      </c>
      <c r="D36" s="16" t="inlineStr">
        <is>
          <t>Valente Acosta-Bustillos</t>
        </is>
      </c>
      <c r="E36" s="16" t="n">
        <v>52</v>
      </c>
      <c r="F36" s="16" t="inlineStr">
        <is>
          <t>male</t>
        </is>
      </c>
      <c r="G36" s="16" t="inlineStr">
        <is>
          <t>Hispanic</t>
        </is>
      </c>
      <c r="H36" s="16" t="inlineStr">
        <is>
          <t>blunt_object</t>
        </is>
      </c>
      <c r="I36" s="16" t="inlineStr">
        <is>
          <t>threat</t>
        </is>
      </c>
      <c r="J36" s="16" t="inlineStr">
        <is>
          <t>not_fleeing</t>
        </is>
      </c>
      <c r="K36" s="16" t="b">
        <v>1</v>
      </c>
      <c r="L36" s="16" t="b">
        <v>0</v>
      </c>
      <c r="M36" s="16" t="b">
        <v>1</v>
      </c>
      <c r="N36" s="16" t="inlineStr">
        <is>
          <t>Albuquerque Police Department</t>
        </is>
      </c>
      <c r="O36" s="16" t="n">
        <v>35.0746008</v>
      </c>
      <c r="P36" s="16" t="n">
        <v>-106.6432443</v>
      </c>
    </row>
    <row r="37">
      <c r="A37" s="16" t="n">
        <v>6060</v>
      </c>
      <c r="B37" s="16" t="inlineStr">
        <is>
          <t>2020-08-10</t>
        </is>
      </c>
      <c r="C37" s="16" t="n">
        <v>2020</v>
      </c>
      <c r="D37" s="16" t="inlineStr">
        <is>
          <t>Jose Vallejos</t>
        </is>
      </c>
      <c r="E37" s="16" t="n">
        <v>48</v>
      </c>
      <c r="F37" s="16" t="inlineStr">
        <is>
          <t>male</t>
        </is>
      </c>
      <c r="G37" s="16" t="inlineStr">
        <is>
          <t>Hispanic</t>
        </is>
      </c>
      <c r="H37" s="16" t="inlineStr">
        <is>
          <t>gun</t>
        </is>
      </c>
      <c r="I37" s="16" t="inlineStr">
        <is>
          <t>point</t>
        </is>
      </c>
      <c r="J37" s="16" t="inlineStr">
        <is>
          <t>missing</t>
        </is>
      </c>
      <c r="K37" s="16" t="b">
        <v>0</v>
      </c>
      <c r="L37" s="16" t="b">
        <v>0</v>
      </c>
      <c r="M37" s="16" t="b">
        <v>1</v>
      </c>
      <c r="N37" s="16" t="inlineStr">
        <is>
          <t>Albuquerque Police Department</t>
        </is>
      </c>
      <c r="O37" s="16" t="n">
        <v>35.1590705</v>
      </c>
      <c r="P37" s="16" t="n">
        <v>-106.692226</v>
      </c>
    </row>
    <row r="38">
      <c r="A38" s="16" t="n">
        <v>6062</v>
      </c>
      <c r="B38" s="16" t="inlineStr">
        <is>
          <t>2020-08-10</t>
        </is>
      </c>
      <c r="C38" s="16" t="n">
        <v>2020</v>
      </c>
      <c r="D38" s="16" t="inlineStr">
        <is>
          <t>Kenneth Reiss</t>
        </is>
      </c>
      <c r="E38" s="16" t="n">
        <v>50</v>
      </c>
      <c r="F38" s="16" t="inlineStr">
        <is>
          <t>male</t>
        </is>
      </c>
      <c r="G38" s="16" t="inlineStr">
        <is>
          <t>White</t>
        </is>
      </c>
      <c r="H38" s="16" t="inlineStr">
        <is>
          <t>gun</t>
        </is>
      </c>
      <c r="I38" s="16" t="inlineStr">
        <is>
          <t>shoot</t>
        </is>
      </c>
      <c r="J38" s="16" t="inlineStr">
        <is>
          <t>foot</t>
        </is>
      </c>
      <c r="K38" s="16" t="b">
        <v>0</v>
      </c>
      <c r="L38" s="16" t="b">
        <v>0</v>
      </c>
      <c r="M38" s="16" t="b">
        <v>1</v>
      </c>
      <c r="N38" s="16" t="inlineStr">
        <is>
          <t>Albuquerque Police Department</t>
        </is>
      </c>
      <c r="O38" s="16" t="n">
        <v>35.073659</v>
      </c>
      <c r="P38" s="16" t="n">
        <v>-106.6145679</v>
      </c>
    </row>
    <row r="39">
      <c r="A39" s="16" t="n">
        <v>6109</v>
      </c>
      <c r="B39" s="16" t="inlineStr">
        <is>
          <t>2020-08-24</t>
        </is>
      </c>
      <c r="C39" s="16" t="n">
        <v>2020</v>
      </c>
      <c r="D39" s="16" t="inlineStr">
        <is>
          <t>David Sanchez</t>
        </is>
      </c>
      <c r="E39" s="16" t="str"/>
      <c r="F39" s="16" t="inlineStr">
        <is>
          <t>male</t>
        </is>
      </c>
      <c r="G39" s="16" t="inlineStr">
        <is>
          <t>Hispanic</t>
        </is>
      </c>
      <c r="H39" s="16" t="inlineStr">
        <is>
          <t>gun</t>
        </is>
      </c>
      <c r="I39" s="16" t="inlineStr">
        <is>
          <t>shoot</t>
        </is>
      </c>
      <c r="J39" s="16" t="inlineStr">
        <is>
          <t>missing</t>
        </is>
      </c>
      <c r="K39" s="16" t="b">
        <v>0</v>
      </c>
      <c r="L39" s="16" t="b">
        <v>0</v>
      </c>
      <c r="M39" s="16" t="b">
        <v>0</v>
      </c>
      <c r="N39" s="16" t="inlineStr">
        <is>
          <t>Bernalillo County Sheriff's Department</t>
        </is>
      </c>
      <c r="O39" s="16" t="n">
        <v>35.1845</v>
      </c>
      <c r="P39" s="16" t="n">
        <v>-106.5704343</v>
      </c>
    </row>
    <row r="40">
      <c r="A40" s="16" t="n">
        <v>6366</v>
      </c>
      <c r="B40" s="16" t="inlineStr">
        <is>
          <t>2020-10-12</t>
        </is>
      </c>
      <c r="C40" s="16" t="n">
        <v>2020</v>
      </c>
      <c r="D40" s="16" t="inlineStr">
        <is>
          <t>Matthew Montoya</t>
        </is>
      </c>
      <c r="E40" s="16" t="n">
        <v>52</v>
      </c>
      <c r="F40" s="16" t="inlineStr">
        <is>
          <t>male</t>
        </is>
      </c>
      <c r="G40" s="16" t="inlineStr">
        <is>
          <t>Hispanic</t>
        </is>
      </c>
      <c r="H40" s="16" t="inlineStr">
        <is>
          <t>gun</t>
        </is>
      </c>
      <c r="I40" s="16" t="inlineStr">
        <is>
          <t>threat</t>
        </is>
      </c>
      <c r="J40" s="16" t="inlineStr">
        <is>
          <t>not_fleeing</t>
        </is>
      </c>
      <c r="K40" s="16" t="b">
        <v>0</v>
      </c>
      <c r="L40" s="16" t="b">
        <v>0</v>
      </c>
      <c r="M40" s="16" t="b">
        <v>1</v>
      </c>
      <c r="N40" s="16" t="inlineStr">
        <is>
          <t>Albuquerque Police Department</t>
        </is>
      </c>
      <c r="O40" s="16" t="n">
        <v>35.0918743</v>
      </c>
      <c r="P40" s="16" t="n">
        <v>-106.5770471</v>
      </c>
    </row>
    <row r="41">
      <c r="A41" s="16" t="n">
        <v>6558</v>
      </c>
      <c r="B41" s="16" t="inlineStr">
        <is>
          <t>2021-01-31</t>
        </is>
      </c>
      <c r="C41" s="16" t="n">
        <v>2021</v>
      </c>
      <c r="D41" s="16" t="inlineStr">
        <is>
          <t>Ezekiel Meza</t>
        </is>
      </c>
      <c r="E41" s="16" t="n">
        <v>41</v>
      </c>
      <c r="F41" s="16" t="inlineStr">
        <is>
          <t>male</t>
        </is>
      </c>
      <c r="G41" s="16" t="inlineStr">
        <is>
          <t>Hispanic</t>
        </is>
      </c>
      <c r="H41" s="16" t="inlineStr">
        <is>
          <t>gun</t>
        </is>
      </c>
      <c r="I41" s="16" t="inlineStr">
        <is>
          <t>shoot</t>
        </is>
      </c>
      <c r="J41" s="16" t="inlineStr">
        <is>
          <t>foot</t>
        </is>
      </c>
      <c r="K41" s="16" t="b">
        <v>0</v>
      </c>
      <c r="L41" s="16" t="b">
        <v>1</v>
      </c>
      <c r="M41" s="16" t="b">
        <v>0</v>
      </c>
      <c r="N41" s="16" t="inlineStr">
        <is>
          <t>Bernalillo County Sheriff's Department</t>
        </is>
      </c>
      <c r="O41" s="16" t="n">
        <v>35.0661986</v>
      </c>
      <c r="P41" s="16" t="n">
        <v>-106.691803</v>
      </c>
    </row>
    <row r="42">
      <c r="A42" s="16" t="n">
        <v>6623</v>
      </c>
      <c r="B42" s="16" t="inlineStr">
        <is>
          <t>2021-02-20</t>
        </is>
      </c>
      <c r="C42" s="16" t="n">
        <v>2021</v>
      </c>
      <c r="D42" s="16" t="inlineStr">
        <is>
          <t>Claude Trivino</t>
        </is>
      </c>
      <c r="E42" s="16" t="n">
        <v>40</v>
      </c>
      <c r="F42" s="16" t="inlineStr">
        <is>
          <t>male</t>
        </is>
      </c>
      <c r="G42" s="16" t="inlineStr">
        <is>
          <t>Hispanic</t>
        </is>
      </c>
      <c r="H42" s="16" t="inlineStr">
        <is>
          <t>knife</t>
        </is>
      </c>
      <c r="I42" s="16" t="inlineStr">
        <is>
          <t>attack</t>
        </is>
      </c>
      <c r="J42" s="16" t="inlineStr">
        <is>
          <t>foot</t>
        </is>
      </c>
      <c r="K42" s="16" t="b">
        <v>1</v>
      </c>
      <c r="L42" s="16" t="b">
        <v>1</v>
      </c>
      <c r="M42" s="16" t="b">
        <v>1</v>
      </c>
      <c r="N42" s="16" t="inlineStr">
        <is>
          <t>Albuquerque Police Department</t>
        </is>
      </c>
      <c r="O42" s="16" t="n">
        <v>35.0807376</v>
      </c>
      <c r="P42" s="16" t="n">
        <v>-106.5861027</v>
      </c>
    </row>
    <row r="43">
      <c r="A43" s="16" t="n">
        <v>7392</v>
      </c>
      <c r="B43" s="16" t="inlineStr">
        <is>
          <t>2021-07-14</t>
        </is>
      </c>
      <c r="C43" s="16" t="n">
        <v>2021</v>
      </c>
      <c r="D43" s="16" t="inlineStr">
        <is>
          <t>Marquez Floyd</t>
        </is>
      </c>
      <c r="E43" s="16" t="n">
        <v>31</v>
      </c>
      <c r="F43" s="16" t="inlineStr">
        <is>
          <t>male</t>
        </is>
      </c>
      <c r="G43" s="16" t="inlineStr">
        <is>
          <t>Black</t>
        </is>
      </c>
      <c r="H43" s="16" t="inlineStr">
        <is>
          <t>gun</t>
        </is>
      </c>
      <c r="I43" s="16" t="inlineStr">
        <is>
          <t>shoot</t>
        </is>
      </c>
      <c r="J43" s="16" t="inlineStr">
        <is>
          <t>not_fleeing</t>
        </is>
      </c>
      <c r="K43" s="16" t="b">
        <v>0</v>
      </c>
      <c r="L43" s="16" t="b">
        <v>0</v>
      </c>
      <c r="M43" s="16" t="b">
        <v>0</v>
      </c>
      <c r="N43" s="16" t="inlineStr">
        <is>
          <t>Federal Bureau of Investigation</t>
        </is>
      </c>
      <c r="O43" s="16" t="str"/>
      <c r="P43" s="16" t="str"/>
    </row>
    <row r="44">
      <c r="A44" s="16" t="n">
        <v>7095</v>
      </c>
      <c r="B44" s="16" t="inlineStr">
        <is>
          <t>2021-08-15</t>
        </is>
      </c>
      <c r="C44" s="16" t="n">
        <v>2021</v>
      </c>
      <c r="D44" s="16" t="inlineStr">
        <is>
          <t>Eric Padilla</t>
        </is>
      </c>
      <c r="E44" s="16" t="n">
        <v>33</v>
      </c>
      <c r="F44" s="16" t="inlineStr">
        <is>
          <t>male</t>
        </is>
      </c>
      <c r="G44" s="16" t="inlineStr">
        <is>
          <t>Hispanic</t>
        </is>
      </c>
      <c r="H44" s="16" t="inlineStr">
        <is>
          <t>gun</t>
        </is>
      </c>
      <c r="I44" s="16" t="inlineStr">
        <is>
          <t>point</t>
        </is>
      </c>
      <c r="J44" s="16" t="inlineStr">
        <is>
          <t>foot</t>
        </is>
      </c>
      <c r="K44" s="16" t="b">
        <v>0</v>
      </c>
      <c r="L44" s="16" t="b">
        <v>1</v>
      </c>
      <c r="M44" s="16" t="b">
        <v>1</v>
      </c>
      <c r="N44" s="16" t="inlineStr">
        <is>
          <t>Albuquerque Police Department</t>
        </is>
      </c>
      <c r="O44" s="16" t="n">
        <v>35.1052481</v>
      </c>
      <c r="P44" s="16" t="n">
        <v>-106.5502924</v>
      </c>
    </row>
    <row r="45">
      <c r="A45" s="16" t="n">
        <v>7376</v>
      </c>
      <c r="B45" s="16" t="inlineStr">
        <is>
          <t>2021-11-26</t>
        </is>
      </c>
      <c r="C45" s="16" t="n">
        <v>2021</v>
      </c>
      <c r="D45" s="16" t="inlineStr">
        <is>
          <t>Elijah Jacob Riche</t>
        </is>
      </c>
      <c r="E45" s="16" t="n">
        <v>18</v>
      </c>
      <c r="F45" s="16" t="inlineStr">
        <is>
          <t>male</t>
        </is>
      </c>
      <c r="G45" s="16" t="inlineStr">
        <is>
          <t>White; Hispanic</t>
        </is>
      </c>
      <c r="H45" s="16" t="inlineStr">
        <is>
          <t>gun</t>
        </is>
      </c>
      <c r="I45" s="16" t="inlineStr">
        <is>
          <t>threat</t>
        </is>
      </c>
      <c r="J45" s="16" t="inlineStr">
        <is>
          <t>missing</t>
        </is>
      </c>
      <c r="K45" s="16" t="b">
        <v>0</v>
      </c>
      <c r="L45" s="16" t="b">
        <v>1</v>
      </c>
      <c r="M45" s="16" t="b">
        <v>0</v>
      </c>
      <c r="N45" s="16" t="inlineStr">
        <is>
          <t>Bernalillo County Sheriff's Department</t>
        </is>
      </c>
      <c r="O45" s="16" t="n">
        <v>35.1326283469605</v>
      </c>
      <c r="P45" s="16" t="n">
        <v>-106.6298974783428</v>
      </c>
    </row>
    <row r="46">
      <c r="A46" s="16" t="n">
        <v>7479</v>
      </c>
      <c r="B46" s="16" t="inlineStr">
        <is>
          <t>2021-12-07</t>
        </is>
      </c>
      <c r="C46" s="16" t="n">
        <v>2021</v>
      </c>
      <c r="D46" s="16" t="inlineStr">
        <is>
          <t>Mario Armando Diaz</t>
        </is>
      </c>
      <c r="E46" s="16" t="n">
        <v>41</v>
      </c>
      <c r="F46" s="16" t="inlineStr">
        <is>
          <t>male</t>
        </is>
      </c>
      <c r="G46" s="16" t="inlineStr">
        <is>
          <t>Hispanic</t>
        </is>
      </c>
      <c r="H46" s="16" t="inlineStr">
        <is>
          <t>unarmed</t>
        </is>
      </c>
      <c r="I46" s="16" t="inlineStr">
        <is>
          <t>attack</t>
        </is>
      </c>
      <c r="J46" s="16" t="inlineStr">
        <is>
          <t>foot</t>
        </is>
      </c>
      <c r="K46" s="16" t="b">
        <v>0</v>
      </c>
      <c r="L46" s="16" t="b">
        <v>0</v>
      </c>
      <c r="M46" s="16" t="b">
        <v>0</v>
      </c>
      <c r="N46" s="16" t="inlineStr">
        <is>
          <t>Bernalillo County Sheriff's Department</t>
        </is>
      </c>
      <c r="O46" s="16" t="str"/>
      <c r="P46" s="16" t="str"/>
    </row>
    <row r="47">
      <c r="A47" s="16" t="n">
        <v>7705</v>
      </c>
      <c r="B47" s="16" t="inlineStr">
        <is>
          <t>2022-02-01</t>
        </is>
      </c>
      <c r="C47" s="16" t="n">
        <v>2022</v>
      </c>
      <c r="D47" s="16" t="inlineStr">
        <is>
          <t>Devin Morris</t>
        </is>
      </c>
      <c r="E47" s="16" t="n">
        <v>31</v>
      </c>
      <c r="F47" s="16" t="inlineStr">
        <is>
          <t>male</t>
        </is>
      </c>
      <c r="G47" s="16" t="inlineStr">
        <is>
          <t>White</t>
        </is>
      </c>
      <c r="H47" s="16" t="inlineStr">
        <is>
          <t>gun</t>
        </is>
      </c>
      <c r="I47" s="16" t="inlineStr">
        <is>
          <t>flee</t>
        </is>
      </c>
      <c r="J47" s="16" t="inlineStr">
        <is>
          <t>foot</t>
        </is>
      </c>
      <c r="K47" s="16" t="b">
        <v>0</v>
      </c>
      <c r="L47" s="16" t="b">
        <v>0</v>
      </c>
      <c r="M47" s="16" t="b">
        <v>1</v>
      </c>
      <c r="N47" s="16" t="inlineStr">
        <is>
          <t>Albuquerque Police Department</t>
        </is>
      </c>
      <c r="O47" s="16" t="str"/>
      <c r="P47" s="16" t="str"/>
    </row>
    <row r="48">
      <c r="A48" s="16" t="n">
        <v>7787</v>
      </c>
      <c r="B48" s="16" t="inlineStr">
        <is>
          <t>2022-03-14</t>
        </is>
      </c>
      <c r="C48" s="16" t="n">
        <v>2022</v>
      </c>
      <c r="D48" s="16" t="inlineStr">
        <is>
          <t>John Dawson Hunter</t>
        </is>
      </c>
      <c r="E48" s="16" t="n">
        <v>52</v>
      </c>
      <c r="F48" s="16" t="inlineStr">
        <is>
          <t>male</t>
        </is>
      </c>
      <c r="G48" s="16" t="inlineStr">
        <is>
          <t>White</t>
        </is>
      </c>
      <c r="H48" s="16" t="inlineStr">
        <is>
          <t>gun</t>
        </is>
      </c>
      <c r="I48" s="16" t="inlineStr">
        <is>
          <t>shoot</t>
        </is>
      </c>
      <c r="J48" s="16" t="inlineStr">
        <is>
          <t>missing</t>
        </is>
      </c>
      <c r="K48" s="16" t="b">
        <v>1</v>
      </c>
      <c r="L48" s="16" t="b">
        <v>0</v>
      </c>
      <c r="M48" s="16" t="b">
        <v>1</v>
      </c>
      <c r="N48" s="16" t="inlineStr">
        <is>
          <t>Albuquerque Police Department</t>
        </is>
      </c>
      <c r="O48" s="16" t="n">
        <v>35.13077307654653</v>
      </c>
      <c r="P48" s="16" t="n">
        <v>-106.4928296364238</v>
      </c>
    </row>
    <row r="49">
      <c r="A49" s="16" t="n">
        <v>7851</v>
      </c>
      <c r="B49" s="16" t="inlineStr">
        <is>
          <t>2022-03-19</t>
        </is>
      </c>
      <c r="C49" s="16" t="n">
        <v>2022</v>
      </c>
      <c r="D49" s="16" t="inlineStr">
        <is>
          <t>Collin Neztsosie</t>
        </is>
      </c>
      <c r="E49" s="16" t="n">
        <v>33</v>
      </c>
      <c r="F49" s="16" t="inlineStr">
        <is>
          <t>male</t>
        </is>
      </c>
      <c r="G49" s="16" t="inlineStr">
        <is>
          <t>Native American</t>
        </is>
      </c>
      <c r="H49" s="16" t="inlineStr">
        <is>
          <t>unarmed</t>
        </is>
      </c>
      <c r="I49" s="16" t="inlineStr">
        <is>
          <t>move</t>
        </is>
      </c>
      <c r="J49" s="16" t="inlineStr">
        <is>
          <t>not_fleeing</t>
        </is>
      </c>
      <c r="K49" s="16" t="b">
        <v>0</v>
      </c>
      <c r="L49" s="16" t="b">
        <v>0</v>
      </c>
      <c r="M49" s="16" t="b">
        <v>1</v>
      </c>
      <c r="N49" s="16" t="inlineStr">
        <is>
          <t>Albuquerque Police Department</t>
        </is>
      </c>
      <c r="O49" s="16" t="n">
        <v>35.0681039</v>
      </c>
      <c r="P49" s="16" t="n">
        <v>-106.4977328</v>
      </c>
    </row>
    <row r="50">
      <c r="A50" s="16" t="n">
        <v>7928</v>
      </c>
      <c r="B50" s="16" t="inlineStr">
        <is>
          <t>2022-04-01</t>
        </is>
      </c>
      <c r="C50" s="16" t="n">
        <v>2022</v>
      </c>
      <c r="D50" s="16" t="inlineStr">
        <is>
          <t>Taylor John Crabb</t>
        </is>
      </c>
      <c r="E50" s="16" t="n">
        <v>37</v>
      </c>
      <c r="F50" s="16" t="inlineStr">
        <is>
          <t>male</t>
        </is>
      </c>
      <c r="G50" s="16" t="inlineStr">
        <is>
          <t>White</t>
        </is>
      </c>
      <c r="H50" s="16" t="inlineStr">
        <is>
          <t>gun;vehicle</t>
        </is>
      </c>
      <c r="I50" s="16" t="inlineStr">
        <is>
          <t>shoot</t>
        </is>
      </c>
      <c r="J50" s="16" t="inlineStr">
        <is>
          <t>car</t>
        </is>
      </c>
      <c r="K50" s="16" t="b">
        <v>0</v>
      </c>
      <c r="L50" s="16" t="b">
        <v>0</v>
      </c>
      <c r="M50" s="16" t="b">
        <v>0</v>
      </c>
      <c r="N50" s="16" t="inlineStr">
        <is>
          <t>Bernalillo County Sheriff's Department</t>
        </is>
      </c>
      <c r="O50" s="16" t="n">
        <v>35.0511881</v>
      </c>
      <c r="P50" s="16" t="n">
        <v>-106.6702788</v>
      </c>
    </row>
    <row r="51">
      <c r="A51" s="16" t="n">
        <v>7970</v>
      </c>
      <c r="B51" s="16" t="inlineStr">
        <is>
          <t>2022-04-06</t>
        </is>
      </c>
      <c r="C51" s="16" t="n">
        <v>2022</v>
      </c>
      <c r="D51" s="16" t="inlineStr">
        <is>
          <t>John A. Withers</t>
        </is>
      </c>
      <c r="E51" s="16" t="n">
        <v>20</v>
      </c>
      <c r="F51" s="16" t="inlineStr">
        <is>
          <t>male</t>
        </is>
      </c>
      <c r="G51" s="16" t="inlineStr">
        <is>
          <t>Unknown</t>
        </is>
      </c>
      <c r="H51" s="16" t="inlineStr">
        <is>
          <t>gun</t>
        </is>
      </c>
      <c r="I51" s="16" t="inlineStr">
        <is>
          <t>shoot</t>
        </is>
      </c>
      <c r="J51" s="16" t="inlineStr">
        <is>
          <t>foot</t>
        </is>
      </c>
      <c r="K51" s="16" t="b">
        <v>0</v>
      </c>
      <c r="L51" s="16" t="b">
        <v>1</v>
      </c>
      <c r="M51" s="16" t="b">
        <v>1</v>
      </c>
      <c r="N51" s="16" t="inlineStr">
        <is>
          <t>Albuquerque Police Department</t>
        </is>
      </c>
      <c r="O51" s="16" t="n">
        <v>35.1388696</v>
      </c>
      <c r="P51" s="16" t="n">
        <v>-106.5334574</v>
      </c>
    </row>
    <row r="52">
      <c r="A52" s="16" t="n">
        <v>8154</v>
      </c>
      <c r="B52" s="16" t="inlineStr">
        <is>
          <t>2022-06-19</t>
        </is>
      </c>
      <c r="C52" s="16" t="n">
        <v>2022</v>
      </c>
      <c r="D52" s="16" t="inlineStr">
        <is>
          <t>Frank Baty</t>
        </is>
      </c>
      <c r="E52" s="16" t="n">
        <v>58</v>
      </c>
      <c r="F52" s="16" t="inlineStr">
        <is>
          <t>male</t>
        </is>
      </c>
      <c r="G52" s="16" t="inlineStr">
        <is>
          <t>Black</t>
        </is>
      </c>
      <c r="H52" s="16" t="inlineStr">
        <is>
          <t>replica</t>
        </is>
      </c>
      <c r="I52" s="16" t="inlineStr">
        <is>
          <t>threat</t>
        </is>
      </c>
      <c r="J52" s="16" t="inlineStr">
        <is>
          <t>not_fleeing</t>
        </is>
      </c>
      <c r="K52" s="16" t="b">
        <v>1</v>
      </c>
      <c r="L52" s="16" t="b">
        <v>0</v>
      </c>
      <c r="M52" s="16" t="b">
        <v>1</v>
      </c>
      <c r="N52" s="16" t="inlineStr">
        <is>
          <t>Albuquerque Police Department</t>
        </is>
      </c>
      <c r="O52" s="16" t="n">
        <v>35.0849929</v>
      </c>
      <c r="P52" s="16" t="n">
        <v>-106.6493478</v>
      </c>
    </row>
    <row r="53">
      <c r="A53" s="16" t="n">
        <v>8189</v>
      </c>
      <c r="B53" s="16" t="inlineStr">
        <is>
          <t>2022-06-27</t>
        </is>
      </c>
      <c r="C53" s="16" t="n">
        <v>2022</v>
      </c>
      <c r="D53" s="16" t="str"/>
      <c r="E53" s="16" t="str"/>
      <c r="F53" s="16" t="inlineStr">
        <is>
          <t>male</t>
        </is>
      </c>
      <c r="G53" s="16" t="inlineStr">
        <is>
          <t>Unknown</t>
        </is>
      </c>
      <c r="H53" s="16" t="inlineStr">
        <is>
          <t>gun</t>
        </is>
      </c>
      <c r="I53" s="16" t="inlineStr">
        <is>
          <t>threat</t>
        </is>
      </c>
      <c r="J53" s="16" t="inlineStr">
        <is>
          <t>missing</t>
        </is>
      </c>
      <c r="K53" s="16" t="b">
        <v>0</v>
      </c>
      <c r="L53" s="16" t="b">
        <v>0</v>
      </c>
      <c r="M53" s="16" t="b">
        <v>0</v>
      </c>
      <c r="N53" s="16" t="inlineStr">
        <is>
          <t>U.S. Marshals Service</t>
        </is>
      </c>
      <c r="O53" s="16" t="str"/>
      <c r="P53" s="16" t="str"/>
    </row>
    <row r="54">
      <c r="A54" s="16" t="n">
        <v>8277</v>
      </c>
      <c r="B54" s="16" t="inlineStr">
        <is>
          <t>2022-07-21</t>
        </is>
      </c>
      <c r="C54" s="16" t="n">
        <v>2022</v>
      </c>
      <c r="D54" s="16" t="inlineStr">
        <is>
          <t>Wendel Tagle</t>
        </is>
      </c>
      <c r="E54" s="16" t="n">
        <v>43</v>
      </c>
      <c r="F54" s="16" t="inlineStr">
        <is>
          <t>male</t>
        </is>
      </c>
      <c r="G54" s="16" t="inlineStr">
        <is>
          <t>Asian heritage</t>
        </is>
      </c>
      <c r="H54" s="16" t="inlineStr">
        <is>
          <t>gun</t>
        </is>
      </c>
      <c r="I54" s="16" t="inlineStr">
        <is>
          <t>shoot</t>
        </is>
      </c>
      <c r="J54" s="16" t="inlineStr">
        <is>
          <t>missing</t>
        </is>
      </c>
      <c r="K54" s="16" t="b">
        <v>1</v>
      </c>
      <c r="L54" s="16" t="b">
        <v>0</v>
      </c>
      <c r="M54" s="16" t="b">
        <v>1</v>
      </c>
      <c r="N54" s="16" t="inlineStr">
        <is>
          <t>Albuquerque Police Department</t>
        </is>
      </c>
      <c r="O54" s="16" t="str"/>
      <c r="P54" s="16" t="str"/>
    </row>
    <row r="55">
      <c r="A55" s="16" t="n">
        <v>8366</v>
      </c>
      <c r="B55" s="16" t="inlineStr">
        <is>
          <t>2022-08-28</t>
        </is>
      </c>
      <c r="C55" s="16" t="n">
        <v>2022</v>
      </c>
      <c r="D55" s="16" t="inlineStr">
        <is>
          <t>Keshawn Thomas</t>
        </is>
      </c>
      <c r="E55" s="16" t="n">
        <v>27</v>
      </c>
      <c r="F55" s="16" t="inlineStr">
        <is>
          <t>male</t>
        </is>
      </c>
      <c r="G55" s="16" t="inlineStr">
        <is>
          <t>Black; Hispanic</t>
        </is>
      </c>
      <c r="H55" s="16" t="inlineStr">
        <is>
          <t>gun</t>
        </is>
      </c>
      <c r="I55" s="16" t="inlineStr">
        <is>
          <t>point</t>
        </is>
      </c>
      <c r="J55" s="16" t="inlineStr">
        <is>
          <t>missing</t>
        </is>
      </c>
      <c r="K55" s="16" t="b">
        <v>0</v>
      </c>
      <c r="L55" s="16" t="b">
        <v>0</v>
      </c>
      <c r="M55" s="16" t="b">
        <v>1</v>
      </c>
      <c r="N55" s="16" t="inlineStr">
        <is>
          <t>Albuquerque Police Department</t>
        </is>
      </c>
      <c r="O55" s="16" t="n">
        <v>35.1149857</v>
      </c>
      <c r="P55" s="16" t="n">
        <v>-106.7022261</v>
      </c>
    </row>
    <row r="56">
      <c r="A56" s="16" t="n">
        <v>8570</v>
      </c>
      <c r="B56" s="16" t="inlineStr">
        <is>
          <t>2022-11-05</t>
        </is>
      </c>
      <c r="C56" s="16" t="n">
        <v>2022</v>
      </c>
      <c r="D56" s="16" t="inlineStr">
        <is>
          <t>Julian Sanchez</t>
        </is>
      </c>
      <c r="E56" s="16" t="n">
        <v>21</v>
      </c>
      <c r="F56" s="16" t="inlineStr">
        <is>
          <t>male</t>
        </is>
      </c>
      <c r="G56" s="16" t="inlineStr">
        <is>
          <t>Hispanic</t>
        </is>
      </c>
      <c r="H56" s="16" t="inlineStr">
        <is>
          <t>gun</t>
        </is>
      </c>
      <c r="I56" s="16" t="inlineStr">
        <is>
          <t>threat</t>
        </is>
      </c>
      <c r="J56" s="16" t="inlineStr">
        <is>
          <t>not_fleeing</t>
        </is>
      </c>
      <c r="K56" s="16" t="b">
        <v>0</v>
      </c>
      <c r="L56" s="16" t="b">
        <v>0</v>
      </c>
      <c r="M56" s="16" t="b">
        <v>1</v>
      </c>
      <c r="N56" s="16" t="inlineStr">
        <is>
          <t>Albuquerque Police Department</t>
        </is>
      </c>
      <c r="O56" s="16" t="n">
        <v>35.0902369</v>
      </c>
      <c r="P56" s="16" t="n">
        <v>-106.4979257</v>
      </c>
    </row>
    <row r="57">
      <c r="A57" s="16" t="n">
        <v>8581</v>
      </c>
      <c r="B57" s="16" t="inlineStr">
        <is>
          <t>2022-11-10</t>
        </is>
      </c>
      <c r="C57" s="16" t="n">
        <v>2022</v>
      </c>
      <c r="D57" s="16" t="inlineStr">
        <is>
          <t>Jesus Crosby</t>
        </is>
      </c>
      <c r="E57" s="16" t="n">
        <v>41</v>
      </c>
      <c r="F57" s="16" t="inlineStr">
        <is>
          <t>male</t>
        </is>
      </c>
      <c r="G57" s="16" t="inlineStr">
        <is>
          <t>Hispanic</t>
        </is>
      </c>
      <c r="H57" s="16" t="inlineStr">
        <is>
          <t>knife</t>
        </is>
      </c>
      <c r="I57" s="16" t="inlineStr">
        <is>
          <t>threat</t>
        </is>
      </c>
      <c r="J57" s="16" t="inlineStr">
        <is>
          <t>foot</t>
        </is>
      </c>
      <c r="K57" s="16" t="b">
        <v>0</v>
      </c>
      <c r="L57" s="16" t="b">
        <v>0</v>
      </c>
      <c r="M57" s="16" t="b">
        <v>1</v>
      </c>
      <c r="N57" s="16" t="inlineStr">
        <is>
          <t>Albuquerque Police Department</t>
        </is>
      </c>
      <c r="O57" s="16" t="n">
        <v>35.0888703</v>
      </c>
      <c r="P57" s="16" t="n">
        <v>-106.6513538</v>
      </c>
    </row>
    <row r="58">
      <c r="A58" s="16" t="n">
        <v>8629</v>
      </c>
      <c r="B58" s="16" t="inlineStr">
        <is>
          <t>2022-11-16</t>
        </is>
      </c>
      <c r="C58" s="16" t="n">
        <v>2022</v>
      </c>
      <c r="D58" s="16" t="str"/>
      <c r="E58" s="16" t="str"/>
      <c r="F58" s="16" t="inlineStr">
        <is>
          <t>missing</t>
        </is>
      </c>
      <c r="G58" s="16" t="inlineStr">
        <is>
          <t>Unknown</t>
        </is>
      </c>
      <c r="H58" s="16" t="inlineStr">
        <is>
          <t>knife</t>
        </is>
      </c>
      <c r="I58" s="16" t="inlineStr">
        <is>
          <t>move</t>
        </is>
      </c>
      <c r="J58" s="16" t="inlineStr">
        <is>
          <t>car</t>
        </is>
      </c>
      <c r="K58" s="16" t="b">
        <v>0</v>
      </c>
      <c r="L58" s="16" t="b">
        <v>0</v>
      </c>
      <c r="M58" s="16" t="b">
        <v>0</v>
      </c>
      <c r="N58" s="16" t="inlineStr">
        <is>
          <t>New Mexico State Police</t>
        </is>
      </c>
      <c r="O58" s="16" t="n">
        <v>35.1295504</v>
      </c>
      <c r="P58" s="16" t="n">
        <v>-106.5672494</v>
      </c>
    </row>
    <row r="59">
      <c r="A59" s="16" t="n">
        <v>8740</v>
      </c>
      <c r="B59" s="16" t="inlineStr">
        <is>
          <t>2022-11-17</t>
        </is>
      </c>
      <c r="C59" s="16" t="n">
        <v>2022</v>
      </c>
      <c r="D59" s="16" t="inlineStr">
        <is>
          <t>Roberto Armijo</t>
        </is>
      </c>
      <c r="E59" s="16" t="n">
        <v>34</v>
      </c>
      <c r="F59" s="16" t="inlineStr">
        <is>
          <t>male</t>
        </is>
      </c>
      <c r="G59" s="16" t="inlineStr">
        <is>
          <t>Hispanic</t>
        </is>
      </c>
      <c r="H59" s="16" t="inlineStr">
        <is>
          <t>knife</t>
        </is>
      </c>
      <c r="I59" s="16" t="inlineStr">
        <is>
          <t>threat</t>
        </is>
      </c>
      <c r="J59" s="16" t="inlineStr">
        <is>
          <t>car</t>
        </is>
      </c>
      <c r="K59" s="16" t="b">
        <v>1</v>
      </c>
      <c r="L59" s="16" t="b">
        <v>1</v>
      </c>
      <c r="M59" s="16" t="b">
        <v>0</v>
      </c>
      <c r="N59" s="16" t="inlineStr">
        <is>
          <t>New Mexico State Police</t>
        </is>
      </c>
      <c r="O59" s="16" t="n">
        <v>35.13075697780115</v>
      </c>
      <c r="P59" s="16" t="n">
        <v>-106.5685235643126</v>
      </c>
    </row>
    <row r="60">
      <c r="A60" s="16" t="n">
        <v>8671</v>
      </c>
      <c r="B60" s="16" t="inlineStr">
        <is>
          <t>2022-11-25</t>
        </is>
      </c>
      <c r="C60" s="16" t="n">
        <v>2022</v>
      </c>
      <c r="D60" s="16" t="inlineStr">
        <is>
          <t>Blaine Denetdele</t>
        </is>
      </c>
      <c r="E60" s="16" t="n">
        <v>30</v>
      </c>
      <c r="F60" s="16" t="inlineStr">
        <is>
          <t>male</t>
        </is>
      </c>
      <c r="G60" s="16" t="inlineStr">
        <is>
          <t>Native American</t>
        </is>
      </c>
      <c r="H60" s="16" t="inlineStr">
        <is>
          <t>knife</t>
        </is>
      </c>
      <c r="I60" s="16" t="inlineStr">
        <is>
          <t>threat</t>
        </is>
      </c>
      <c r="J60" s="16" t="inlineStr">
        <is>
          <t>not_fleeing</t>
        </is>
      </c>
      <c r="K60" s="16" t="b">
        <v>1</v>
      </c>
      <c r="L60" s="16" t="b">
        <v>0</v>
      </c>
      <c r="M60" s="16" t="b">
        <v>1</v>
      </c>
      <c r="N60" s="16" t="inlineStr">
        <is>
          <t>Albuquerque Police Department</t>
        </is>
      </c>
      <c r="O60" s="16" t="n">
        <v>35.0419954</v>
      </c>
      <c r="P60" s="16" t="n">
        <v>-106.7495187</v>
      </c>
    </row>
    <row r="61">
      <c r="A61" s="16" t="n">
        <v>9126</v>
      </c>
      <c r="B61" s="16" t="inlineStr">
        <is>
          <t>2023-04-16</t>
        </is>
      </c>
      <c r="C61" s="16" t="n">
        <v>2023</v>
      </c>
      <c r="D61" s="16" t="inlineStr">
        <is>
          <t>Jared Romero</t>
        </is>
      </c>
      <c r="E61" s="16" t="n">
        <v>35</v>
      </c>
      <c r="F61" s="16" t="inlineStr">
        <is>
          <t>male</t>
        </is>
      </c>
      <c r="G61" s="16" t="inlineStr">
        <is>
          <t>Unknown</t>
        </is>
      </c>
      <c r="H61" s="16" t="inlineStr">
        <is>
          <t>knife</t>
        </is>
      </c>
      <c r="I61" s="16" t="inlineStr">
        <is>
          <t>threat</t>
        </is>
      </c>
      <c r="J61" s="16" t="inlineStr">
        <is>
          <t>not_fleeing</t>
        </is>
      </c>
      <c r="K61" s="16" t="b">
        <v>1</v>
      </c>
      <c r="L61" s="16" t="b">
        <v>1</v>
      </c>
      <c r="M61" s="16" t="b">
        <v>0</v>
      </c>
      <c r="N61" s="16" t="inlineStr">
        <is>
          <t>Bernalillo County Sheriff's Department</t>
        </is>
      </c>
      <c r="O61" s="16" t="n">
        <v>34.99641244483638</v>
      </c>
      <c r="P61" s="16" t="n">
        <v>-106.7051222077305</v>
      </c>
    </row>
    <row r="62">
      <c r="A62" s="16" t="n">
        <v>9705</v>
      </c>
      <c r="B62" s="16" t="inlineStr">
        <is>
          <t>2023-05-19</t>
        </is>
      </c>
      <c r="C62" s="16" t="n">
        <v>2023</v>
      </c>
      <c r="D62" s="16" t="inlineStr">
        <is>
          <t>David Gaylor</t>
        </is>
      </c>
      <c r="E62" s="16" t="n">
        <v>42</v>
      </c>
      <c r="F62" s="16" t="inlineStr">
        <is>
          <t>male</t>
        </is>
      </c>
      <c r="G62" s="16" t="inlineStr">
        <is>
          <t>White</t>
        </is>
      </c>
      <c r="H62" s="16" t="inlineStr">
        <is>
          <t>knife</t>
        </is>
      </c>
      <c r="I62" s="16" t="inlineStr">
        <is>
          <t>attack</t>
        </is>
      </c>
      <c r="J62" s="16" t="inlineStr">
        <is>
          <t>not_fleeing</t>
        </is>
      </c>
      <c r="K62" s="16" t="b">
        <v>1</v>
      </c>
      <c r="L62" s="16" t="b">
        <v>0</v>
      </c>
      <c r="M62" s="16" t="b">
        <v>1</v>
      </c>
      <c r="N62" s="16" t="inlineStr">
        <is>
          <t>Albuquerque Police Department</t>
        </is>
      </c>
      <c r="O62" s="16" t="n">
        <v>35.09103133562253</v>
      </c>
      <c r="P62" s="16" t="n">
        <v>-106.6790185889831</v>
      </c>
    </row>
    <row r="63">
      <c r="A63" s="16" t="n">
        <v>9669</v>
      </c>
      <c r="B63" s="16" t="inlineStr">
        <is>
          <t>2023-06-24</t>
        </is>
      </c>
      <c r="C63" s="16" t="n">
        <v>2023</v>
      </c>
      <c r="D63" s="16" t="inlineStr">
        <is>
          <t>Mark Edward Peter</t>
        </is>
      </c>
      <c r="E63" s="16" t="n">
        <v>41</v>
      </c>
      <c r="F63" s="16" t="inlineStr">
        <is>
          <t>male</t>
        </is>
      </c>
      <c r="G63" s="16" t="inlineStr">
        <is>
          <t>White</t>
        </is>
      </c>
      <c r="H63" s="16" t="inlineStr">
        <is>
          <t>gun</t>
        </is>
      </c>
      <c r="I63" s="16" t="inlineStr">
        <is>
          <t>shoot</t>
        </is>
      </c>
      <c r="J63" s="16" t="inlineStr">
        <is>
          <t>not_fleeing</t>
        </is>
      </c>
      <c r="K63" s="16" t="b">
        <v>0</v>
      </c>
      <c r="L63" s="16" t="b">
        <v>0</v>
      </c>
      <c r="M63" s="16" t="b">
        <v>1</v>
      </c>
      <c r="N63" s="16" t="inlineStr">
        <is>
          <t>Albuquerque Police Department</t>
        </is>
      </c>
      <c r="O63" s="16" t="n">
        <v>35.07319404791232</v>
      </c>
      <c r="P63" s="16" t="n">
        <v>-106.7425808316389</v>
      </c>
    </row>
    <row r="64">
      <c r="A64" s="16" t="n">
        <v>9327</v>
      </c>
      <c r="B64" s="16" t="inlineStr">
        <is>
          <t>2023-06-29</t>
        </is>
      </c>
      <c r="C64" s="16" t="n">
        <v>2023</v>
      </c>
      <c r="D64" s="16" t="inlineStr">
        <is>
          <t>Jeramiah Salyards</t>
        </is>
      </c>
      <c r="E64" s="16" t="n">
        <v>25</v>
      </c>
      <c r="F64" s="16" t="inlineStr">
        <is>
          <t>male</t>
        </is>
      </c>
      <c r="G64" s="16" t="inlineStr">
        <is>
          <t>White; Hispanic</t>
        </is>
      </c>
      <c r="H64" s="16" t="inlineStr">
        <is>
          <t>knife</t>
        </is>
      </c>
      <c r="I64" s="16" t="inlineStr">
        <is>
          <t>threat</t>
        </is>
      </c>
      <c r="J64" s="16" t="inlineStr">
        <is>
          <t>not_fleeing</t>
        </is>
      </c>
      <c r="K64" s="16" t="b">
        <v>0</v>
      </c>
      <c r="L64" s="16" t="b">
        <v>0</v>
      </c>
      <c r="M64" s="16" t="b">
        <v>1</v>
      </c>
      <c r="N64" s="16" t="inlineStr">
        <is>
          <t>Albuquerque Police Department</t>
        </is>
      </c>
      <c r="O64" s="16" t="n">
        <v>35.08711347068424</v>
      </c>
      <c r="P64" s="16" t="n">
        <v>-106.5688264098228</v>
      </c>
    </row>
    <row r="65">
      <c r="A65" s="16" t="n">
        <v>9652</v>
      </c>
      <c r="B65" s="16" t="inlineStr">
        <is>
          <t>2023-07-20</t>
        </is>
      </c>
      <c r="C65" s="16" t="n">
        <v>2023</v>
      </c>
      <c r="D65" s="16" t="inlineStr">
        <is>
          <t>Emmanuel Galaviz Campos</t>
        </is>
      </c>
      <c r="E65" s="16" t="n">
        <v>20</v>
      </c>
      <c r="F65" s="16" t="inlineStr">
        <is>
          <t>male</t>
        </is>
      </c>
      <c r="G65" s="16" t="inlineStr">
        <is>
          <t>Hispanic</t>
        </is>
      </c>
      <c r="H65" s="16" t="inlineStr">
        <is>
          <t>gun</t>
        </is>
      </c>
      <c r="I65" s="16" t="inlineStr">
        <is>
          <t>shoot</t>
        </is>
      </c>
      <c r="J65" s="16" t="inlineStr">
        <is>
          <t>not_fleeing</t>
        </is>
      </c>
      <c r="K65" s="16" t="b">
        <v>0</v>
      </c>
      <c r="L65" s="16" t="b">
        <v>1</v>
      </c>
      <c r="M65" s="16" t="b">
        <v>1</v>
      </c>
      <c r="N65" s="16" t="inlineStr">
        <is>
          <t>Albuquerque Police Department; New Mexico State Police</t>
        </is>
      </c>
      <c r="O65" s="16" t="n">
        <v>35.07695859203948</v>
      </c>
      <c r="P65" s="16" t="n">
        <v>-106.4973232898305</v>
      </c>
    </row>
    <row r="66">
      <c r="A66" s="16" t="n">
        <v>9468</v>
      </c>
      <c r="B66" s="16" t="inlineStr">
        <is>
          <t>2023-08-08</t>
        </is>
      </c>
      <c r="C66" s="16" t="n">
        <v>2023</v>
      </c>
      <c r="D66" s="16" t="inlineStr">
        <is>
          <t>Ahmad Nassar</t>
        </is>
      </c>
      <c r="E66" s="16" t="n">
        <v>32</v>
      </c>
      <c r="F66" s="16" t="inlineStr">
        <is>
          <t>male</t>
        </is>
      </c>
      <c r="G66" s="16" t="inlineStr">
        <is>
          <t>Other</t>
        </is>
      </c>
      <c r="H66" s="16" t="inlineStr">
        <is>
          <t>undetermined</t>
        </is>
      </c>
      <c r="I66" s="16" t="inlineStr">
        <is>
          <t>missing</t>
        </is>
      </c>
      <c r="J66" s="16" t="inlineStr">
        <is>
          <t>missing</t>
        </is>
      </c>
      <c r="K66" s="16" t="b">
        <v>1</v>
      </c>
      <c r="L66" s="16" t="b">
        <v>0</v>
      </c>
      <c r="M66" s="16" t="b">
        <v>0</v>
      </c>
      <c r="N66" s="16" t="inlineStr">
        <is>
          <t>Federal Bureau of Investigation</t>
        </is>
      </c>
      <c r="O66" s="16" t="n">
        <v>35.09017027471211</v>
      </c>
      <c r="P66" s="16" t="n">
        <v>-106.5062503587118</v>
      </c>
    </row>
    <row r="67">
      <c r="A67" s="16" t="n">
        <v>9857</v>
      </c>
      <c r="B67" s="16" t="inlineStr">
        <is>
          <t>2023-11-12</t>
        </is>
      </c>
      <c r="C67" s="16" t="n">
        <v>2023</v>
      </c>
      <c r="D67" s="16" t="inlineStr">
        <is>
          <t>Joseph Ramos</t>
        </is>
      </c>
      <c r="E67" s="16" t="str"/>
      <c r="F67" s="16" t="inlineStr">
        <is>
          <t>male</t>
        </is>
      </c>
      <c r="G67" s="16" t="inlineStr">
        <is>
          <t>Unknown</t>
        </is>
      </c>
      <c r="H67" s="16" t="inlineStr">
        <is>
          <t>undetermined</t>
        </is>
      </c>
      <c r="I67" s="16" t="inlineStr">
        <is>
          <t>missing</t>
        </is>
      </c>
      <c r="J67" s="16" t="inlineStr">
        <is>
          <t>car</t>
        </is>
      </c>
      <c r="K67" s="16" t="b">
        <v>0</v>
      </c>
      <c r="L67" s="16" t="b">
        <v>0</v>
      </c>
      <c r="M67" s="16" t="b">
        <v>0</v>
      </c>
      <c r="N67" s="16" t="inlineStr">
        <is>
          <t>Bernalillo County Sheriff's Department</t>
        </is>
      </c>
      <c r="O67" s="16" t="n">
        <v>35.15616662955824</v>
      </c>
      <c r="P67" s="16" t="n">
        <v>-106.6378008868663</v>
      </c>
    </row>
    <row r="68">
      <c r="A68" s="16" t="n">
        <v>9892</v>
      </c>
      <c r="B68" s="16" t="inlineStr">
        <is>
          <t>2023-11-25</t>
        </is>
      </c>
      <c r="C68" s="16" t="n">
        <v>2023</v>
      </c>
      <c r="D68" s="16" t="inlineStr">
        <is>
          <t>Pete Martinez</t>
        </is>
      </c>
      <c r="E68" s="16" t="n">
        <v>36</v>
      </c>
      <c r="F68" s="16" t="inlineStr">
        <is>
          <t>male</t>
        </is>
      </c>
      <c r="G68" s="16" t="inlineStr">
        <is>
          <t>Unknown</t>
        </is>
      </c>
      <c r="H68" s="16" t="inlineStr">
        <is>
          <t>gun</t>
        </is>
      </c>
      <c r="I68" s="16" t="inlineStr">
        <is>
          <t>threat</t>
        </is>
      </c>
      <c r="J68" s="16" t="inlineStr">
        <is>
          <t>foot</t>
        </is>
      </c>
      <c r="K68" s="16" t="b">
        <v>0</v>
      </c>
      <c r="L68" s="16" t="b">
        <v>0</v>
      </c>
      <c r="M68" s="16" t="b">
        <v>1</v>
      </c>
      <c r="N68" s="16" t="inlineStr">
        <is>
          <t>Albuquerque Police Department</t>
        </is>
      </c>
      <c r="O68" s="16" t="n">
        <v>35.14079720239818</v>
      </c>
      <c r="P68" s="16" t="n">
        <v>-106.599866373017</v>
      </c>
    </row>
    <row r="69">
      <c r="A69" s="16" t="n">
        <v>9966</v>
      </c>
      <c r="B69" s="16" t="inlineStr">
        <is>
          <t>2023-12-07</t>
        </is>
      </c>
      <c r="C69" s="16" t="n">
        <v>2023</v>
      </c>
      <c r="D69" s="16" t="inlineStr">
        <is>
          <t>Mark Carlson</t>
        </is>
      </c>
      <c r="E69" s="16" t="n">
        <v>32</v>
      </c>
      <c r="F69" s="16" t="inlineStr">
        <is>
          <t>male</t>
        </is>
      </c>
      <c r="G69" s="16" t="inlineStr">
        <is>
          <t>White</t>
        </is>
      </c>
      <c r="H69" s="16" t="inlineStr">
        <is>
          <t>gun</t>
        </is>
      </c>
      <c r="I69" s="16" t="inlineStr">
        <is>
          <t>threat</t>
        </is>
      </c>
      <c r="J69" s="16" t="inlineStr">
        <is>
          <t>foot</t>
        </is>
      </c>
      <c r="K69" s="16" t="b">
        <v>0</v>
      </c>
      <c r="L69" s="16" t="b">
        <v>0</v>
      </c>
      <c r="M69" s="16" t="b">
        <v>1</v>
      </c>
      <c r="N69" s="16" t="inlineStr">
        <is>
          <t>Albuquerque Police Department</t>
        </is>
      </c>
      <c r="O69" s="16" t="n">
        <v>35.13099364123745</v>
      </c>
      <c r="P69" s="16" t="n">
        <v>-106.5999670646753</v>
      </c>
    </row>
    <row r="70">
      <c r="A70" s="16" t="n">
        <v>10084</v>
      </c>
      <c r="B70" s="16" t="inlineStr">
        <is>
          <t>2024-01-25</t>
        </is>
      </c>
      <c r="C70" s="16" t="n">
        <v>2024</v>
      </c>
      <c r="D70" s="16" t="inlineStr">
        <is>
          <t>Joseph Dominic Baca</t>
        </is>
      </c>
      <c r="E70" s="16" t="n">
        <v>38</v>
      </c>
      <c r="F70" s="16" t="inlineStr">
        <is>
          <t>male</t>
        </is>
      </c>
      <c r="G70" s="16" t="inlineStr">
        <is>
          <t>Hispanic</t>
        </is>
      </c>
      <c r="H70" s="16" t="inlineStr">
        <is>
          <t>gun</t>
        </is>
      </c>
      <c r="I70" s="16" t="inlineStr">
        <is>
          <t>point</t>
        </is>
      </c>
      <c r="J70" s="16" t="inlineStr">
        <is>
          <t>not_fleeing</t>
        </is>
      </c>
      <c r="K70" s="16" t="b">
        <v>0</v>
      </c>
      <c r="L70" s="16" t="b">
        <v>0</v>
      </c>
      <c r="M70" s="16" t="b">
        <v>1</v>
      </c>
      <c r="N70" s="16" t="inlineStr">
        <is>
          <t>Albuquerque Police Department</t>
        </is>
      </c>
      <c r="O70" s="16" t="n">
        <v>35.10710297920408</v>
      </c>
      <c r="P70" s="16" t="n">
        <v>-106.6498960132317</v>
      </c>
    </row>
    <row r="71">
      <c r="A71" s="16" t="n">
        <v>10217</v>
      </c>
      <c r="B71" s="16" t="inlineStr">
        <is>
          <t>2024-03-08</t>
        </is>
      </c>
      <c r="C71" s="16" t="n">
        <v>2024</v>
      </c>
      <c r="D71" s="16" t="inlineStr">
        <is>
          <t>Francisco Hernandez</t>
        </is>
      </c>
      <c r="E71" s="16" t="n">
        <v>35</v>
      </c>
      <c r="F71" s="16" t="inlineStr">
        <is>
          <t>male</t>
        </is>
      </c>
      <c r="G71" s="16" t="inlineStr">
        <is>
          <t>Hispanic</t>
        </is>
      </c>
      <c r="H71" s="16" t="inlineStr">
        <is>
          <t>gun</t>
        </is>
      </c>
      <c r="I71" s="16" t="inlineStr">
        <is>
          <t>point</t>
        </is>
      </c>
      <c r="J71" s="16" t="inlineStr">
        <is>
          <t>foot</t>
        </is>
      </c>
      <c r="K71" s="16" t="b">
        <v>0</v>
      </c>
      <c r="L71" s="16" t="b">
        <v>0</v>
      </c>
      <c r="M71" s="16" t="b">
        <v>0</v>
      </c>
      <c r="N71" s="16" t="inlineStr">
        <is>
          <t>New Mexico State Police</t>
        </is>
      </c>
      <c r="O71" s="16" t="n">
        <v>35.15172388365814</v>
      </c>
      <c r="P71" s="16" t="n">
        <v>-106.5098231027226</v>
      </c>
    </row>
    <row r="72">
      <c r="A72" s="16" t="n">
        <v>10262</v>
      </c>
      <c r="B72" s="16" t="inlineStr">
        <is>
          <t>2024-03-19</t>
        </is>
      </c>
      <c r="C72" s="16" t="n">
        <v>2024</v>
      </c>
      <c r="D72" s="16" t="inlineStr">
        <is>
          <t>Mariah Voigt</t>
        </is>
      </c>
      <c r="E72" s="16" t="n">
        <v>33</v>
      </c>
      <c r="F72" s="16" t="inlineStr">
        <is>
          <t>female</t>
        </is>
      </c>
      <c r="G72" s="16" t="inlineStr">
        <is>
          <t>Hispanic</t>
        </is>
      </c>
      <c r="H72" s="16" t="inlineStr">
        <is>
          <t>unarmed</t>
        </is>
      </c>
      <c r="I72" s="16" t="inlineStr">
        <is>
          <t>move</t>
        </is>
      </c>
      <c r="J72" s="16" t="inlineStr">
        <is>
          <t>foot</t>
        </is>
      </c>
      <c r="K72" s="16" t="b">
        <v>0</v>
      </c>
      <c r="L72" s="16" t="b">
        <v>0</v>
      </c>
      <c r="M72" s="16" t="b">
        <v>1</v>
      </c>
      <c r="N72" s="16" t="inlineStr">
        <is>
          <t>Albuquerque Police Department</t>
        </is>
      </c>
      <c r="O72" s="16" t="n">
        <v>35.11617634405111</v>
      </c>
      <c r="P72" s="16" t="n">
        <v>-106.5332330009159</v>
      </c>
    </row>
    <row r="73">
      <c r="A73" s="16" t="n">
        <v>10348</v>
      </c>
      <c r="B73" s="16" t="inlineStr">
        <is>
          <t>2024-04-11</t>
        </is>
      </c>
      <c r="C73" s="16" t="n">
        <v>2024</v>
      </c>
      <c r="D73" s="16" t="inlineStr">
        <is>
          <t>Mark Christian Benavidez Jr.</t>
        </is>
      </c>
      <c r="E73" s="16" t="n">
        <v>30</v>
      </c>
      <c r="F73" s="16" t="inlineStr">
        <is>
          <t>male</t>
        </is>
      </c>
      <c r="G73" s="16" t="inlineStr">
        <is>
          <t>Hispanic</t>
        </is>
      </c>
      <c r="H73" s="16" t="inlineStr">
        <is>
          <t>gun</t>
        </is>
      </c>
      <c r="I73" s="16" t="inlineStr">
        <is>
          <t>shoot</t>
        </is>
      </c>
      <c r="J73" s="16" t="inlineStr">
        <is>
          <t>not_fleeing</t>
        </is>
      </c>
      <c r="K73" s="16" t="b">
        <v>0</v>
      </c>
      <c r="L73" s="16" t="b">
        <v>0</v>
      </c>
      <c r="M73" s="16" t="b">
        <v>1</v>
      </c>
      <c r="N73" s="16" t="inlineStr">
        <is>
          <t>Albuquerque Police Department</t>
        </is>
      </c>
      <c r="O73" s="16" t="n">
        <v>35.10636694806515</v>
      </c>
      <c r="P73" s="16" t="n">
        <v>-106.5507963702192</v>
      </c>
    </row>
    <row r="74">
      <c r="A74" s="16" t="n">
        <v>10599</v>
      </c>
      <c r="B74" s="16" t="inlineStr">
        <is>
          <t>2024-06-20</t>
        </is>
      </c>
      <c r="C74" s="16" t="n">
        <v>2024</v>
      </c>
      <c r="D74" s="16" t="inlineStr">
        <is>
          <t>Dale Meador</t>
        </is>
      </c>
      <c r="E74" s="16" t="n">
        <v>42</v>
      </c>
      <c r="F74" s="16" t="inlineStr">
        <is>
          <t>male</t>
        </is>
      </c>
      <c r="G74" s="16" t="inlineStr">
        <is>
          <t>Unknown</t>
        </is>
      </c>
      <c r="H74" s="16" t="inlineStr">
        <is>
          <t>replica</t>
        </is>
      </c>
      <c r="I74" s="16" t="inlineStr">
        <is>
          <t>threat</t>
        </is>
      </c>
      <c r="J74" s="16" t="inlineStr">
        <is>
          <t>car</t>
        </is>
      </c>
      <c r="K74" s="16" t="b">
        <v>0</v>
      </c>
      <c r="L74" s="16" t="b">
        <v>0</v>
      </c>
      <c r="M74" s="16" t="b">
        <v>1</v>
      </c>
      <c r="N74" s="16" t="inlineStr">
        <is>
          <t>Albuquerque Police Department</t>
        </is>
      </c>
      <c r="O74" s="16" t="n">
        <v>35.10655951323042</v>
      </c>
      <c r="P74" s="16" t="n">
        <v>-106.7044407413532</v>
      </c>
    </row>
    <row r="75">
      <c r="A75" s="16" t="n">
        <v>10851</v>
      </c>
      <c r="B75" s="16" t="inlineStr">
        <is>
          <t>2024-08-17</t>
        </is>
      </c>
      <c r="C75" s="16" t="n">
        <v>2024</v>
      </c>
      <c r="D75" s="16" t="inlineStr">
        <is>
          <t>Derek Darnell Pickett</t>
        </is>
      </c>
      <c r="E75" s="16" t="n">
        <v>44</v>
      </c>
      <c r="F75" s="16" t="inlineStr">
        <is>
          <t>male</t>
        </is>
      </c>
      <c r="G75" s="16" t="inlineStr">
        <is>
          <t>Black</t>
        </is>
      </c>
      <c r="H75" s="16" t="inlineStr">
        <is>
          <t>gun</t>
        </is>
      </c>
      <c r="I75" s="16" t="inlineStr">
        <is>
          <t>threat</t>
        </is>
      </c>
      <c r="J75" s="16" t="inlineStr">
        <is>
          <t>foot</t>
        </is>
      </c>
      <c r="K75" s="16" t="b">
        <v>0</v>
      </c>
      <c r="L75" s="16" t="b">
        <v>0</v>
      </c>
      <c r="M75" s="16" t="b">
        <v>1</v>
      </c>
      <c r="N75" s="16" t="inlineStr">
        <is>
          <t>Albuquerque Police Department</t>
        </is>
      </c>
      <c r="O75" s="16" t="n">
        <v>35.08049714601039</v>
      </c>
      <c r="P75" s="16" t="n">
        <v>-106.643889400097</v>
      </c>
    </row>
    <row r="76">
      <c r="A76" s="16" t="n">
        <v>11040</v>
      </c>
      <c r="B76" s="16" t="inlineStr">
        <is>
          <t>2024-10-13</t>
        </is>
      </c>
      <c r="C76" s="16" t="n">
        <v>2024</v>
      </c>
      <c r="D76" s="16" t="inlineStr">
        <is>
          <t>Matthew Sanchez</t>
        </is>
      </c>
      <c r="E76" s="16" t="n">
        <v>41</v>
      </c>
      <c r="F76" s="16" t="inlineStr">
        <is>
          <t>male</t>
        </is>
      </c>
      <c r="G76" s="16" t="inlineStr">
        <is>
          <t>Hispanic</t>
        </is>
      </c>
      <c r="H76" s="16" t="inlineStr">
        <is>
          <t>gun</t>
        </is>
      </c>
      <c r="I76" s="16" t="inlineStr">
        <is>
          <t>threat</t>
        </is>
      </c>
      <c r="J76" s="16" t="inlineStr">
        <is>
          <t>not_fleeing</t>
        </is>
      </c>
      <c r="K76" s="16" t="b">
        <v>0</v>
      </c>
      <c r="L76" s="16" t="b">
        <v>0</v>
      </c>
      <c r="M76" s="16" t="b">
        <v>1</v>
      </c>
      <c r="N76" s="16" t="inlineStr">
        <is>
          <t>Albuquerque Police Department</t>
        </is>
      </c>
      <c r="O76" s="16" t="n">
        <v>35.07007835051782</v>
      </c>
      <c r="P76" s="16" t="n">
        <v>-106.5248360065485</v>
      </c>
    </row>
    <row r="77">
      <c r="A77" s="16" t="n">
        <v>11054</v>
      </c>
      <c r="B77" s="16" t="inlineStr">
        <is>
          <t>2024-10-18</t>
        </is>
      </c>
      <c r="C77" s="16" t="n">
        <v>2024</v>
      </c>
      <c r="D77" s="16" t="inlineStr">
        <is>
          <t>Matthew Freddie Garcia</t>
        </is>
      </c>
      <c r="E77" s="16" t="n">
        <v>39</v>
      </c>
      <c r="F77" s="16" t="inlineStr">
        <is>
          <t>male</t>
        </is>
      </c>
      <c r="G77" s="16" t="inlineStr">
        <is>
          <t>Unknown</t>
        </is>
      </c>
      <c r="H77" s="16" t="inlineStr">
        <is>
          <t>gun</t>
        </is>
      </c>
      <c r="I77" s="16" t="inlineStr">
        <is>
          <t>undetermined</t>
        </is>
      </c>
      <c r="J77" s="16" t="inlineStr">
        <is>
          <t>not_fleeing</t>
        </is>
      </c>
      <c r="K77" s="16" t="b">
        <v>0</v>
      </c>
      <c r="L77" s="16" t="b">
        <v>1</v>
      </c>
      <c r="M77" s="16" t="b">
        <v>1</v>
      </c>
      <c r="N77" s="16" t="inlineStr">
        <is>
          <t>Albuquerque Police Department</t>
        </is>
      </c>
      <c r="O77" s="16" t="n">
        <v>35.0821671113886</v>
      </c>
      <c r="P77" s="16" t="n">
        <v>-106.701086307775</v>
      </c>
    </row>
    <row r="78">
      <c r="A78" s="16" t="n">
        <v>11143</v>
      </c>
      <c r="B78" s="16" t="inlineStr">
        <is>
          <t>2024-11-11</t>
        </is>
      </c>
      <c r="C78" s="16" t="n">
        <v>2024</v>
      </c>
      <c r="D78" s="16" t="inlineStr">
        <is>
          <t>Anthony Hernandez</t>
        </is>
      </c>
      <c r="E78" s="16" t="n">
        <v>30</v>
      </c>
      <c r="F78" s="16" t="inlineStr">
        <is>
          <t>male</t>
        </is>
      </c>
      <c r="G78" s="16" t="inlineStr">
        <is>
          <t>Unknown</t>
        </is>
      </c>
      <c r="H78" s="16" t="inlineStr">
        <is>
          <t>gun</t>
        </is>
      </c>
      <c r="I78" s="16" t="inlineStr">
        <is>
          <t>shoot</t>
        </is>
      </c>
      <c r="J78" s="16" t="inlineStr">
        <is>
          <t>missing</t>
        </is>
      </c>
      <c r="K78" s="16" t="b">
        <v>0</v>
      </c>
      <c r="L78" s="16" t="b">
        <v>0</v>
      </c>
      <c r="M78" s="16" t="b">
        <v>1</v>
      </c>
      <c r="N78" s="16" t="inlineStr">
        <is>
          <t>Albuquerque Police Department</t>
        </is>
      </c>
      <c r="O78" s="16" t="n">
        <v>35.105678293518</v>
      </c>
      <c r="P78" s="16" t="n">
        <v>-106.587871954946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14" min="1" max="1"/>
    <col width="18" customWidth="1" style="14" min="2" max="2"/>
    <col width="18" customWidth="1" style="14" min="3" max="3"/>
    <col width="18" customWidth="1" style="14" min="4" max="4"/>
  </cols>
  <sheetData>
    <row r="1">
      <c r="A1" s="18" t="inlineStr">
        <is>
          <t>Source</t>
        </is>
      </c>
      <c r="B1" s="18" t="inlineStr">
        <is>
          <t>Use in workbook</t>
        </is>
      </c>
      <c r="C1" s="18" t="inlineStr">
        <is>
          <t>URL</t>
        </is>
      </c>
      <c r="D1" s="18" t="inlineStr">
        <is>
          <t>Notes</t>
        </is>
      </c>
    </row>
    <row r="2">
      <c r="A2" s="16" t="inlineStr">
        <is>
          <t>Washington Post Fatal Force data</t>
        </is>
      </c>
      <c r="B2" s="16" t="inlineStr">
        <is>
          <t>Incident-level fatal police shootings base data</t>
        </is>
      </c>
      <c r="C2" s="16" t="inlineStr">
        <is>
          <t>https://github.com/washingtonpost/data-police-shootings</t>
        </is>
      </c>
      <c r="D2" s="16" t="inlineStr">
        <is>
          <t>Cleaned package supplied in project workspace.</t>
        </is>
      </c>
    </row>
    <row r="3">
      <c r="A3" s="16" t="inlineStr">
        <is>
          <t>U.S. Census Bureau QuickFacts: Albuquerque city, New Mexico</t>
        </is>
      </c>
      <c r="B3" s="16" t="inlineStr">
        <is>
          <t>2024 city population denominator</t>
        </is>
      </c>
      <c r="C3" s="16" t="inlineStr">
        <is>
          <t>https://www.census.gov/quickfacts/albuquerquecitynewmexico</t>
        </is>
      </c>
      <c r="D3" s="16" t="inlineStr">
        <is>
          <t>Used as constant denominator for first-pass city rate.</t>
        </is>
      </c>
    </row>
    <row r="4">
      <c r="A4" s="16" t="inlineStr">
        <is>
          <t>U.S. Census Bureau QuickFacts: Bernalillo County, New Mexico</t>
        </is>
      </c>
      <c r="B4" s="16" t="inlineStr">
        <is>
          <t>County denominator for planned extension</t>
        </is>
      </c>
      <c r="C4" s="16" t="inlineStr">
        <is>
          <t>https://www.census.gov/quickfacts/bernalillocountynewmexico</t>
        </is>
      </c>
      <c r="D4" s="16" t="inlineStr">
        <is>
          <t>Not fully modeled yet.</t>
        </is>
      </c>
    </row>
    <row r="5">
      <c r="A5" s="16" t="inlineStr">
        <is>
          <t>U.S. Department of Justice APD findings letter, 2014</t>
        </is>
      </c>
      <c r="B5" s="16" t="inlineStr">
        <is>
          <t>Institutional context for APD reform period</t>
        </is>
      </c>
      <c r="C5" s="16" t="inlineStr">
        <is>
          <t>https://www.justice.gov/sites/default/files/crt/legacy/2014/04/10/apd_findings_4-10-14.pdf</t>
        </is>
      </c>
      <c r="D5" s="16" t="inlineStr">
        <is>
          <t>Context only, not used as a numeric variable.</t>
        </is>
      </c>
    </row>
    <row r="6">
      <c r="A6" s="16" t="inlineStr">
        <is>
          <t>AP reporting on APD compliance milestone</t>
        </is>
      </c>
      <c r="B6" s="16" t="inlineStr">
        <is>
          <t>Reform period context</t>
        </is>
      </c>
      <c r="C6" s="16" t="inlineStr">
        <is>
          <t>https://apnews.com/article/f457dd25e46c19b63f78cdc55f70bfc7</t>
        </is>
      </c>
      <c r="D6" s="16" t="inlineStr">
        <is>
          <t>Context only.</t>
        </is>
      </c>
    </row>
    <row r="7">
      <c r="A7" s="16" t="inlineStr">
        <is>
          <t>Project-derived CSVs</t>
        </is>
      </c>
      <c r="B7" s="16" t="inlineStr">
        <is>
          <t>Albuquerque extraction and metrics</t>
        </is>
      </c>
      <c r="C7" s="16" t="inlineStr">
        <is>
          <t>/mnt/data/police_shootings_albuquerque_focus/data</t>
        </is>
      </c>
      <c r="D7" s="16" t="inlineStr">
        <is>
          <t>Generated from cleaned project data.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14" min="1" max="1"/>
    <col width="120" customWidth="1" style="14" min="2" max="2"/>
  </cols>
  <sheetData>
    <row r="1">
      <c r="A1" s="64" t="inlineStr">
        <is>
          <t>Review item</t>
        </is>
      </c>
      <c r="B1" s="64" t="inlineStr">
        <is>
          <t>Status / fix</t>
        </is>
      </c>
    </row>
    <row r="2">
      <c r="A2" s="65" t="inlineStr">
        <is>
          <t>Workbook opened and scanned</t>
        </is>
      </c>
      <c r="B2" s="65" t="inlineStr">
        <is>
          <t>Checked formulas, visible error strings, table structure, and dashboard charts.</t>
        </is>
      </c>
    </row>
    <row r="3">
      <c r="A3" s="65" t="inlineStr">
        <is>
          <t>Formula scan</t>
        </is>
      </c>
      <c r="B3" s="65" t="inlineStr">
        <is>
          <t>No visible common Excel error strings strings were found.</t>
        </is>
      </c>
    </row>
    <row r="4">
      <c r="A4" s="65" t="inlineStr">
        <is>
          <t>Dashboard chart titles</t>
        </is>
      </c>
      <c r="B4" s="65" t="inlineStr">
        <is>
          <t>Added explicit chart titles and axis labels.</t>
        </is>
      </c>
    </row>
    <row r="5">
      <c r="A5" s="65" t="inlineStr">
        <is>
          <t>KPI formatting</t>
        </is>
      </c>
      <c r="B5" s="65" t="inlineStr">
        <is>
          <t>Standardized KPI number formats including percentages, rates, counts, and population denominator.</t>
        </is>
      </c>
    </row>
    <row r="6">
      <c r="A6" s="65" t="inlineStr">
        <is>
          <t>Interpretation caveat</t>
        </is>
      </c>
      <c r="B6" s="65" t="inlineStr">
        <is>
          <t>Added note that APD-involved counts are agency-involvement records and may be non-exclusive in multi-agency incidents.</t>
        </is>
      </c>
    </row>
    <row r="7">
      <c r="A7" s="65" t="inlineStr">
        <is>
          <t>Calculation mode</t>
        </is>
      </c>
      <c r="B7" s="65" t="inlineStr">
        <is>
          <t>Set workbook to automatic calculation / full calculation on open.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2026-06-22T18:27:02Z</dcterms:created>
  <dcterms:modified xmlns:dcterms="http://purl.org/dc/terms/" xmlns:xsi="http://www.w3.org/2001/XMLSchema-instance" xsi:type="dcterms:W3CDTF">2026-06-22T18:27:35Z</dcterms:modified>
</cp:coreProperties>
</file>